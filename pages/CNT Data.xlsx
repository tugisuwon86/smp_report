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bookViews>
    <workbookView xWindow="0" yWindow="0" windowWidth="28800" windowHeight="12315"/>
  </bookViews>
  <sheets>
    <sheet name="Sheet1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97" i="4" l="1"/>
  <c r="S96" i="4"/>
  <c r="S222" i="4" l="1"/>
  <c r="S221" i="4"/>
  <c r="S216" i="4"/>
  <c r="S215" i="4"/>
  <c r="S210" i="4"/>
  <c r="S209" i="4"/>
  <c r="S204" i="4"/>
  <c r="S203" i="4"/>
  <c r="S192" i="4"/>
  <c r="S191" i="4"/>
  <c r="S186" i="4"/>
  <c r="S185" i="4"/>
  <c r="S180" i="4"/>
  <c r="S179" i="4"/>
  <c r="S174" i="4"/>
  <c r="S173" i="4"/>
  <c r="S168" i="4"/>
  <c r="S167" i="4"/>
  <c r="S162" i="4"/>
  <c r="S161" i="4"/>
  <c r="S156" i="4"/>
  <c r="S155" i="4"/>
  <c r="S144" i="4"/>
  <c r="S143" i="4"/>
  <c r="S138" i="4"/>
  <c r="S137" i="4"/>
  <c r="S132" i="4"/>
  <c r="S131" i="4"/>
  <c r="S125" i="4"/>
  <c r="S124" i="4"/>
  <c r="S118" i="4"/>
  <c r="S117" i="4"/>
  <c r="S111" i="4"/>
  <c r="S110" i="4"/>
  <c r="S104" i="4"/>
  <c r="S103" i="4"/>
  <c r="S90" i="4"/>
  <c r="S89" i="4"/>
  <c r="S83" i="4"/>
  <c r="S82" i="4"/>
  <c r="S76" i="4"/>
  <c r="S75" i="4"/>
  <c r="K122" i="4" l="1"/>
  <c r="S35" i="4" l="1"/>
  <c r="S34" i="4"/>
  <c r="S28" i="4"/>
  <c r="S27" i="4"/>
  <c r="S17" i="4"/>
  <c r="S16" i="4"/>
</calcChain>
</file>

<file path=xl/sharedStrings.xml><?xml version="1.0" encoding="utf-8"?>
<sst xmlns="http://schemas.openxmlformats.org/spreadsheetml/2006/main" count="2035" uniqueCount="979">
  <si>
    <t>Width</t>
  </si>
  <si>
    <t>2</t>
  </si>
  <si>
    <t>5</t>
  </si>
  <si>
    <t>VLT</t>
  </si>
  <si>
    <t>PO Price</t>
  </si>
  <si>
    <t>Length</t>
  </si>
  <si>
    <t>Thickness</t>
  </si>
  <si>
    <t>15</t>
  </si>
  <si>
    <t>20</t>
  </si>
  <si>
    <t>30</t>
  </si>
  <si>
    <t>35</t>
  </si>
  <si>
    <t>40</t>
  </si>
  <si>
    <t>50</t>
  </si>
  <si>
    <t>Type (Code)</t>
  </si>
  <si>
    <t>Techpia (Code)</t>
  </si>
  <si>
    <t>IC-CB0524</t>
  </si>
  <si>
    <t>T-PC 05</t>
  </si>
  <si>
    <t>IC-CB0536</t>
  </si>
  <si>
    <t>IC-CB0540</t>
  </si>
  <si>
    <t>IC-CB0560</t>
  </si>
  <si>
    <t>IC-CB1524</t>
  </si>
  <si>
    <t>T-PC 15</t>
  </si>
  <si>
    <t>IC-CB1536</t>
  </si>
  <si>
    <t>IC-CB1540</t>
  </si>
  <si>
    <t>IC-CB1560</t>
  </si>
  <si>
    <t>IC-CB2024</t>
  </si>
  <si>
    <t>T-PC 20</t>
  </si>
  <si>
    <t>IC-CB2036</t>
  </si>
  <si>
    <t>IC-CB2040</t>
  </si>
  <si>
    <t>IC-CB2060</t>
  </si>
  <si>
    <t>IC-CB3040</t>
  </si>
  <si>
    <t>T-PC 30</t>
  </si>
  <si>
    <t>IC-CB3060</t>
  </si>
  <si>
    <t>IC-CB3536</t>
  </si>
  <si>
    <t>T-PC 35</t>
  </si>
  <si>
    <t>IC-CB3540</t>
  </si>
  <si>
    <t>IC-CB3560</t>
  </si>
  <si>
    <t>IC-CB4040</t>
  </si>
  <si>
    <t>T-PC 40</t>
  </si>
  <si>
    <t>IC-CB4060</t>
  </si>
  <si>
    <t>IC-CB5036</t>
  </si>
  <si>
    <t>T-PC 50</t>
  </si>
  <si>
    <t>IC-CB5040</t>
  </si>
  <si>
    <t>IC-CB5060</t>
  </si>
  <si>
    <t>IC-CB0224</t>
  </si>
  <si>
    <t>T-PC 02</t>
  </si>
  <si>
    <t>IC-CB0236</t>
  </si>
  <si>
    <t>IC-CB0240</t>
  </si>
  <si>
    <t>IC-CB0260</t>
  </si>
  <si>
    <t>IC-CB3024</t>
  </si>
  <si>
    <t>IC-CB3036</t>
  </si>
  <si>
    <t>IC-CB3524</t>
  </si>
  <si>
    <t>IC-CB4024</t>
  </si>
  <si>
    <t>IC-CB4036</t>
  </si>
  <si>
    <t>IC-CB5024</t>
  </si>
  <si>
    <t>QB Description</t>
  </si>
  <si>
    <t>(C2 Carbon, 02% 24" x 100') GEOSHIELD</t>
  </si>
  <si>
    <t>(C2 Carbon, 02% 36" x 100') GEOSHIELD</t>
  </si>
  <si>
    <t>(C2 Carbon, 02% 60" x 100') GEOSHIELD</t>
  </si>
  <si>
    <t>(C2 Carbon, 05% 24" x 100') GEOSHIELD</t>
  </si>
  <si>
    <t>(C2 Carbon, 05% 36" x 100') GEOSHIELD</t>
  </si>
  <si>
    <t>(C2 Carbon, 05% 60" x 100') GEOSHIELD</t>
  </si>
  <si>
    <t>(C2 Carbon, 15% 24" x 100') GEOSHIELD</t>
  </si>
  <si>
    <t>(C2 Carbon, 15% 36" x 100') GEOSHIELD</t>
  </si>
  <si>
    <t>(C2 Carbon, 15% 60" x 100') GEOSHIELD</t>
  </si>
  <si>
    <t>(C2 Carbon, 20% 24" x 100') GEOSHIELD</t>
  </si>
  <si>
    <t>(C2 Carbon, 20% 36" x 100') GEOSHIELD</t>
  </si>
  <si>
    <t>(C2 Carbon, 20% 60" x 100') GEOSHIELD</t>
  </si>
  <si>
    <t>(C2 Carbon, 30% 60" x 100') GEOSHIELD</t>
  </si>
  <si>
    <t>(C2 Carbon, 35% 36" x 100') GEOSHIELD</t>
  </si>
  <si>
    <t>(C2 Carbon, 35% 60" x 100') GEOSHIELD</t>
  </si>
  <si>
    <t>(C2 Carbon, 40% 60" x 100') GEOSHIELD</t>
  </si>
  <si>
    <t>(C2 Carbon, 50% 36" x 100') GEOSHIELD</t>
  </si>
  <si>
    <t>(C2 Carbon, 50% 60" x 100') GEOSHIELD</t>
  </si>
  <si>
    <t>(C2 Carbon, 50% 24" x 100') GEOSHIELD</t>
  </si>
  <si>
    <t>(C2 Carbon, 40% 24" x 100') GEOSHIELD</t>
  </si>
  <si>
    <t>(C2 Carbon, 40% 36" x 100') GEOSHIELD</t>
  </si>
  <si>
    <t>(C2 Carbon, 35% 24" x 100') GEOSHIELD</t>
  </si>
  <si>
    <t>(C2 Carbon, 30% 24" x 100') GEOSHIELD</t>
  </si>
  <si>
    <t>(C2 Carbon, 30% 36" x 100') GEOSHIELD</t>
  </si>
  <si>
    <t>(Carbon IR, 02% 24" x 100') HITEK</t>
  </si>
  <si>
    <t>(Carbon IR, 02% 36" x 100') HITEK</t>
  </si>
  <si>
    <t>(Carbon IR, 02% 60" x 100') HITEK</t>
  </si>
  <si>
    <t>(Carbon IR, 05% 24" x 100') HITEK</t>
  </si>
  <si>
    <t>(Carbon IR, 05% 36" x 100') HITEK</t>
  </si>
  <si>
    <t>(Carbon IR, 05% 60" x 100') HITEK</t>
  </si>
  <si>
    <t>(Carbon IR, 15% 24" x 100') HITEK</t>
  </si>
  <si>
    <t>(Carbon IR, 15% 36" x 100') HITEK</t>
  </si>
  <si>
    <t>(Carbon IR, 15% 60" x 100') HITEK</t>
  </si>
  <si>
    <t>(Carbon IR, 20% 24" x 100') HITEK</t>
  </si>
  <si>
    <t>(Carbon IR, 20% 36" x 100') HITEK</t>
  </si>
  <si>
    <t>(Carbon IR, 20% 60" x 100') HITEK</t>
  </si>
  <si>
    <t>(Carbon IR, 30% 24" x 100') HITEK</t>
  </si>
  <si>
    <t>(Carbon IR, 30% 36" x 100') HITEK</t>
  </si>
  <si>
    <t>(Carbon IR, 30% 60" x 100') HITEK</t>
  </si>
  <si>
    <t>(Carbon IR, 35% 24" x 100') HITEK</t>
  </si>
  <si>
    <t>(Carbon IR, 35% 36" x 100') HITEK</t>
  </si>
  <si>
    <t>(Carbon IR, 35% 60" x 100') HITEK</t>
  </si>
  <si>
    <t>(Carbon IR, 40% 24" x 100') HITEK</t>
  </si>
  <si>
    <t>(Carbon IR, 40% 36" x 100') HITEK</t>
  </si>
  <si>
    <t>(Carbon IR, 40% 60" x 100') HITEK</t>
  </si>
  <si>
    <t>(Carbon IR, 50% 24" x 100') HITEK</t>
  </si>
  <si>
    <t>(Carbon IR, 50% 36" x 100') HITEK</t>
  </si>
  <si>
    <t>(Carbon IR, 50% 60" x 100') HITEK</t>
  </si>
  <si>
    <t>(C2 Ceramic, 05% 24" x 100') GEOSHIELD</t>
  </si>
  <si>
    <t>(C2 Ceramic, 05% 36" x 100') GEOSHIELD</t>
  </si>
  <si>
    <t>(C2 Ceramic, 05% 60" x 100') GEOSHIELD</t>
  </si>
  <si>
    <t>(C2 Ceramic, 15% 24" x 100') GEOSHIELD</t>
  </si>
  <si>
    <t>(C2 Ceramic, 15% 36" x 100') GEOSHIELD</t>
  </si>
  <si>
    <t>(C2 Ceramic, 15% 60" x 100') GEOSHIELD</t>
  </si>
  <si>
    <t>(C2 Ceramic, 20% 24" x 100') GEOSHIELD</t>
  </si>
  <si>
    <t>(C2 Ceramic, 20% 36" x 100') GEOSHIELD</t>
  </si>
  <si>
    <t>(C2 Ceramic, 20% 60" x 100') GEOSHIELD</t>
  </si>
  <si>
    <t>(C2 Ceramic, 30% 24" x 100') GEOSHIELD</t>
  </si>
  <si>
    <t>(C2 Ceramic, 30% 36" x 100') GEOSHIELD</t>
  </si>
  <si>
    <t>(C2 Ceramic, 30% 60" x 100') GEOSHIELD</t>
  </si>
  <si>
    <t>(C2 Ceramic, 35% 24" x 100') GEOSHIELD</t>
  </si>
  <si>
    <t>(C2 Ceramic, 35% 36" x 100') GEOSHIELD</t>
  </si>
  <si>
    <t>(C2 Ceramic, 35% 60" x 100') GEOSHIELD</t>
  </si>
  <si>
    <t>(C2 Ceramic, 40% 24" x 100') GEOSHIELD</t>
  </si>
  <si>
    <t>(C2 Ceramic, 40% 36" x 100') GEOSHIELD</t>
  </si>
  <si>
    <t>(C2 Ceramic, 40% 60" x 100') GEOSHIELD</t>
  </si>
  <si>
    <t>(C2 Ceramic, 50% 24" x 100') GEOSHIELD</t>
  </si>
  <si>
    <t>(C2 Ceramic, 50% 36" x 100') GEOSHIELD</t>
  </si>
  <si>
    <t>(C2 Ceramic, 50% 60" x 100') GEOSHIELD</t>
  </si>
  <si>
    <t>(Ceramic IR, 02% 24" x 100') HITEK</t>
  </si>
  <si>
    <t>(Ceramic IR, 02% 36" x 100') HITEK</t>
  </si>
  <si>
    <t>(Ceramic IR, 02% 60" x 100') HITEK</t>
  </si>
  <si>
    <t>(Ceramic IR, 05% 24" x 100') HITEK</t>
  </si>
  <si>
    <t>(Ceramic IR, 05% 36" x 100') HITEK</t>
  </si>
  <si>
    <t>(Ceramic IR, 05% 60" x 100') HITEK</t>
  </si>
  <si>
    <t>(Ceramic IR, 15% 24" x 100') HITEK</t>
  </si>
  <si>
    <t>(Ceramic IR, 15% 36" x 100') HITEK</t>
  </si>
  <si>
    <t>(Ceramic IR, 15% 60" x 100') HITEK</t>
  </si>
  <si>
    <t>(Ceramic IR, 20% 24" x 100') HITEK</t>
  </si>
  <si>
    <t>(Ceramic IR, 20% 36" x 100') HITEK</t>
  </si>
  <si>
    <t>(Ceramic IR, 20% 60" x 100') HITEK</t>
  </si>
  <si>
    <t>(Ceramic IR, 30% 24" x 100') HITEK</t>
  </si>
  <si>
    <t>(Ceramic IR, 30% 36" x 100') HITEK</t>
  </si>
  <si>
    <t>(Ceramic IR, 30% 60" x 100') HITEK</t>
  </si>
  <si>
    <t>(Ceramic IR, 35% 24" x 100') HITEK</t>
  </si>
  <si>
    <t>(Ceramic IR, 35% 36" x 100') HITEK</t>
  </si>
  <si>
    <t>(Ceramic IR, 35% 60" x 100') HITEK</t>
  </si>
  <si>
    <t>(Ceramic IR, 40% 24" x 100') HITEK</t>
  </si>
  <si>
    <t>(Ceramic IR, 40% 36" x 100') HITEK</t>
  </si>
  <si>
    <t>(Ceramic IR, 40% 60" x 100') HITEK</t>
  </si>
  <si>
    <t>(Ceramic IR, 50% 24" x 100') HITEK</t>
  </si>
  <si>
    <t>(Ceramic IR, 50% 36" x 100') HITEK</t>
  </si>
  <si>
    <t>(Ceramic IR, 50% 60" x 100') HITEK</t>
  </si>
  <si>
    <t>IC-IRP0224</t>
  </si>
  <si>
    <t>IC-IRP0236</t>
  </si>
  <si>
    <t>IC-IRP0240</t>
  </si>
  <si>
    <t>IC-IRP0260</t>
  </si>
  <si>
    <t>IC-IRP0524</t>
  </si>
  <si>
    <t>IC-IRP0536</t>
  </si>
  <si>
    <t>IC-IRP0540</t>
  </si>
  <si>
    <t>IC-IRP0560</t>
  </si>
  <si>
    <t>IC-IRP1524</t>
  </si>
  <si>
    <t>IC-IRP1536</t>
  </si>
  <si>
    <t>IC-IRP1540</t>
  </si>
  <si>
    <t>IC-IRP1560</t>
  </si>
  <si>
    <t>IC-IRP2024</t>
  </si>
  <si>
    <t>IC-IRP2036</t>
  </si>
  <si>
    <t>IC-IRP2040</t>
  </si>
  <si>
    <t>IC-IRP2060</t>
  </si>
  <si>
    <t>IC-IRP3024</t>
  </si>
  <si>
    <t>IC-IRP3036</t>
  </si>
  <si>
    <t>IC-IRP3040</t>
  </si>
  <si>
    <t>IC-IRP3060</t>
  </si>
  <si>
    <t>IC-IRP3524</t>
  </si>
  <si>
    <t>IC-IRP3536</t>
  </si>
  <si>
    <t>IC-IRP3540</t>
  </si>
  <si>
    <t>IC-IRP3560</t>
  </si>
  <si>
    <t>IC-IRP4024</t>
  </si>
  <si>
    <t>IC-IRP4036</t>
  </si>
  <si>
    <t>IC-IRP4040</t>
  </si>
  <si>
    <t>IC-IRP4060</t>
  </si>
  <si>
    <t>(Ceramic IR, 70% 24" x 100') HITEK</t>
  </si>
  <si>
    <t>(Ceramic IR, 70% 36" x 100') HITEK</t>
  </si>
  <si>
    <t>(Ceramic IR, 70% 60" x 100') HITEK</t>
  </si>
  <si>
    <t>T-PC 2070 IR</t>
  </si>
  <si>
    <t>T-PC 3070 IR</t>
  </si>
  <si>
    <t>T-PC 4070 IR</t>
  </si>
  <si>
    <t>T-PC 3570 IR</t>
  </si>
  <si>
    <t>T-PC 5070 IR(LAH)</t>
  </si>
  <si>
    <t>T-PC 7070 IR(LAH)</t>
  </si>
  <si>
    <t>IC-IRP5024LAH</t>
  </si>
  <si>
    <t>IC-IRP7024LAH</t>
  </si>
  <si>
    <t>IC-IRP5036LAH</t>
  </si>
  <si>
    <t>IC-IRP7036LAH</t>
  </si>
  <si>
    <t>IC-IRP5040LAH</t>
  </si>
  <si>
    <t>IC-IRP7040LAH</t>
  </si>
  <si>
    <t>IC-IRP5060LAH</t>
  </si>
  <si>
    <t>IC-IRP7060LAH</t>
  </si>
  <si>
    <t>T-PC 02 IR</t>
  </si>
  <si>
    <t>T-PC 05 IR</t>
  </si>
  <si>
    <t>T-PC 15 IR</t>
  </si>
  <si>
    <t>(C2 Ceramic, 75% 24" x 100') GEOSHIELD</t>
  </si>
  <si>
    <t>(C2 Ceramic, 75% 36" x 100') GEOSHIELD</t>
  </si>
  <si>
    <t>(C2 Ceramic, 75% 60" x 100') GEOSHIELD</t>
  </si>
  <si>
    <t>B-PPF-PG6050 (PPF, Premium Guard Clear 60"x50')</t>
  </si>
  <si>
    <t>B-PPF-PGB6050 (PPF, Premium Guard Black 60"x50')</t>
  </si>
  <si>
    <t>B-PPF-PGMB6050 (PPF, Premium Guard Matte Black 60"x50')</t>
  </si>
  <si>
    <t>B-PPF-PGMC6050 (PPF, Premium Guard Matte Clear 60"x50')</t>
  </si>
  <si>
    <t>Ceramic Shield PPF - Gloss Clear</t>
  </si>
  <si>
    <t>Ceramic Shield PPF - Gloss Black</t>
  </si>
  <si>
    <t>Ceramic Shield PPF - Matte Black</t>
  </si>
  <si>
    <t>Ceramic Shield PPF - Matte Clear</t>
  </si>
  <si>
    <t>PPF-GC60</t>
  </si>
  <si>
    <t>PPF-GB60</t>
  </si>
  <si>
    <t>PPF-MB60</t>
  </si>
  <si>
    <t>PPF-MC60</t>
  </si>
  <si>
    <t>B-EC-CBX0524 (Puremax EC-CBX, 05% 24" x 100')</t>
  </si>
  <si>
    <t>B-EC-CBX0536 (Puremax EC-CBX, 05% 36" x 100')</t>
  </si>
  <si>
    <t>B-EC-CBX0540 (Puremax EC-CBX, 05% 40" x 100')</t>
  </si>
  <si>
    <t>B-EC-CBX0560 (Puremax EC-CBX, 05% 60" x 100')</t>
  </si>
  <si>
    <t>B-EC-CBX0560 (Puremax EC-CBX, 05% 60" x 50')</t>
  </si>
  <si>
    <t>B-EC-CBX1524 (Puremax EC-CBX, 15% 24" x 100)</t>
  </si>
  <si>
    <t>B-EC-CBX1536 (Puremax EC-CBX, 15% 36" x 100)</t>
  </si>
  <si>
    <t>B-EC-CBX1540 (Puremax EC-CBX, 15% 40" x 100')</t>
  </si>
  <si>
    <t>B-EC-CBX1560 (Puremax EC-CBX, 15% 60" x 100')</t>
  </si>
  <si>
    <t>B-EC-CBX1560 (Puremax EC-CBX, 15% 60" x 50')</t>
  </si>
  <si>
    <t>B-EC-CBX2024 (Puremax EC-CBX, 20% 24" x 100')</t>
  </si>
  <si>
    <t>B-EC-CBX2036 (Puremax EC-CBX, 20% 36" x 100')</t>
  </si>
  <si>
    <t>B-EC-CBX2040 (Puremax EC-CBX, 20% 40" x 100')</t>
  </si>
  <si>
    <t>B-EC-CBX2060 (Puremax EC-CBX, 20% 60" x 100')</t>
  </si>
  <si>
    <t>B-EC-CBX2060 (Puremax EC-CBX, 20% 60" x 50')</t>
  </si>
  <si>
    <t>B-EC-CBX2524 (Puremax EC-CBX, 25% 24" x 100')</t>
  </si>
  <si>
    <t>B-EC-CBX2536 (Puremax EC-CBX, 25% 36" x 100')</t>
  </si>
  <si>
    <t>B-EC-CBX2540 (Puremax EC-CBX, 25% 40" x 100 ')</t>
  </si>
  <si>
    <t>B-EC-CBX2560 (Puremax EC-CBX, 25% 60" x 100')</t>
  </si>
  <si>
    <t>B-EC-CBX2560 (Puremax EC-CBX, 25% 60" x 50')</t>
  </si>
  <si>
    <t>B-EC-CBX3524 (Puremax EC-CBX, 35% 24" x 100')</t>
  </si>
  <si>
    <t>B-EC-CBX3536 (Puremax EC-CBX, 35% 36" x 100')</t>
  </si>
  <si>
    <t>B-EC-CBX3540 (Puremax EC-CBX, 35% 40" x 100')</t>
  </si>
  <si>
    <t>B-EC-CBX3560 (Puremax EC-CBX, 35% 60" x 100')</t>
  </si>
  <si>
    <t>B-EC-CBX3560 (Puremax EC-CBX, 35% 60" x 50')</t>
  </si>
  <si>
    <t>B-EC-CBX4024 (Puremax EC-CBX, 40% 24" x 100')</t>
  </si>
  <si>
    <t>B-EC-CBX4036 (Puremax EC-CBX, 40% 36" x 100')</t>
  </si>
  <si>
    <t>B-EC-CBX4040 (Puremax EC-CBX, 40% 40" x 100')</t>
  </si>
  <si>
    <t>B-EC-CBX4060 (Puremax EC-CBX, 40% 60" x 100')</t>
  </si>
  <si>
    <t>B-EC-CBX4060 (Puremax EC-CBX, 40% 60" x 50')</t>
  </si>
  <si>
    <t>B-EC-CBX5024 (Puremax EC-CBX, 50% 24" x 100')</t>
  </si>
  <si>
    <t>B-EC-CBX5036 (Puremax EC-CBX, 50% 36" x 100')</t>
  </si>
  <si>
    <t>B-EC-CBX5040 (Puremax EC-CBX, 50% 40" x 100')</t>
  </si>
  <si>
    <t>B-EC-CBX5060 (Puremax EC-CBX, 50% 60" x 100')</t>
  </si>
  <si>
    <t>B-EC-CBX5060 (Puremax EC-CBX, 50% 60" x 50')</t>
  </si>
  <si>
    <t>B-EC-IRX0524 (Koolmax EC-IRX, 05% 24" x 100')</t>
  </si>
  <si>
    <t>B-EC-IRX0536 (Koolmax EC-IRX, 05% 36" x 100')</t>
  </si>
  <si>
    <t>B-EC-IRX0540 (Koolmax EC-IRX, 05% 40" x 100')</t>
  </si>
  <si>
    <t>B-EC-IRX0560 (Koolmax EC-IRX, 05% 60" x 100')</t>
  </si>
  <si>
    <t>B-EC-IRX0560 (Koolmax EC-IRX, 05% 60" x 50')</t>
  </si>
  <si>
    <t>B-EC-IRX1524 (Koolmax EC-IRX, 15% 24" x 100')</t>
  </si>
  <si>
    <t>B-EC-IRX1536 (Koolmax EC-IRX, 15% 36" x 100')</t>
  </si>
  <si>
    <t>B-EC-IRX1540 (Koolmax EC-IRX, 15% 40" x 100')</t>
  </si>
  <si>
    <t>B-EC-IRX1560 (Koolmax EC-IRX, 15% 60" x 100')</t>
  </si>
  <si>
    <t>B-EC-IRX1560 (Koolmax EC-IRX, 15% 60" x 50')</t>
  </si>
  <si>
    <t>B-EC-IRX2024 (Koolmax EC-IRX, 20% 24" x 100')</t>
  </si>
  <si>
    <t>B-EC-IRX2036 (Koolmax EC-IRX, 20% 36" x 100')</t>
  </si>
  <si>
    <t>B-EC-IRX2040 (Koolmax EC-IRX, 20% 40" x 100')</t>
  </si>
  <si>
    <t>B-EC-IRX2060 (Koolmax EC-IRX, 20% 60" x 100')</t>
  </si>
  <si>
    <t>B-EC-IRX2060 (Koolmax EC-IRX, 20% 60" x 50')</t>
  </si>
  <si>
    <t>B-EC-IRX3524 (Koolmax EC-IRX, 35% 24" x 100')</t>
  </si>
  <si>
    <t>B-EC-IRX3536 (Koolmax EC-IRX, 35% 36" x 100')</t>
  </si>
  <si>
    <t>B-EC-IRX3540 (Koolmax EC-IRX, 35% 40" x 100')</t>
  </si>
  <si>
    <t>B-EC-IRX3560 (Koolmax EC-IRX, 35% 60" x 100')</t>
  </si>
  <si>
    <t>B-EC-IRX3560 (Koolmax EC-IRX, 35% 60" x 50')</t>
  </si>
  <si>
    <t>B-EC-IRX4024 (Koolmax EC-IRX, 40% 24" x 100')</t>
  </si>
  <si>
    <t>B-EC-IRX4036 (Koolmax EC-IRX, 40% 36" x 100)</t>
  </si>
  <si>
    <t>B-EC-IRX4040 (Koolmax EC-IRX, 40% 40" x 100')</t>
  </si>
  <si>
    <t>B-EC-IRX4060 (Koolmax EC-IRX, 40% 60" x 100')</t>
  </si>
  <si>
    <t>B-EC-IRX4060 (Koolmax EC-IRX, 40% 60" x 50')</t>
  </si>
  <si>
    <t>B-EC-IRX5024 (Koolmax EC-IRX, 50% 24" x 100')</t>
  </si>
  <si>
    <t>B-EC-IRX5036 (Koolmax EC-IRX, 50% 36" x 100')</t>
  </si>
  <si>
    <t>B-EC-IRX5040 (Koolmax EC-IRX, 50% 40" x 100')</t>
  </si>
  <si>
    <t>B-EC-IRX5060 (Koolmax EC-IRX, 50% 60" x 100')</t>
  </si>
  <si>
    <t>B-EC-IRX5060 (Koolmax EC-IRX, 50% 60" x 50')</t>
  </si>
  <si>
    <t>B-EC-IRX7024 (Koolmax EC-IRX, 70% 24" x 100')</t>
  </si>
  <si>
    <t>B-EC-IRX7036 (Koolmax EC-IRX, 70% 36" x 100')</t>
  </si>
  <si>
    <t>B-EC-IRX7040 (Koolmax EC-IRX, 70% 40" x 100')</t>
  </si>
  <si>
    <t>B-EC-IRX7060 (Koolmax EC-IRX, 70% 60" x 100')</t>
  </si>
  <si>
    <t>B-EC-IRX7060 (Koolmax EC-IRX, 70% 60" x 50')</t>
  </si>
  <si>
    <t>EC-CBX0524</t>
  </si>
  <si>
    <t>EC-CBX0536</t>
  </si>
  <si>
    <t>EC-CBX0540</t>
  </si>
  <si>
    <t>EC-CBX0560</t>
  </si>
  <si>
    <t>EC-CBX1524</t>
  </si>
  <si>
    <t>EC-CBX1536</t>
  </si>
  <si>
    <t>EC-CBX1540</t>
  </si>
  <si>
    <t>EC-CBX1560</t>
  </si>
  <si>
    <t>EC-CBX2024</t>
  </si>
  <si>
    <t>EC-CBX2036</t>
  </si>
  <si>
    <t>EC-CBX2040</t>
  </si>
  <si>
    <t>EC-CBX2060</t>
  </si>
  <si>
    <t>EC-CBX2524</t>
  </si>
  <si>
    <t>EC-CBX2536</t>
  </si>
  <si>
    <t>EC-CBX2540</t>
  </si>
  <si>
    <t>EC-CBX2560</t>
  </si>
  <si>
    <t>EC-CBX3524</t>
  </si>
  <si>
    <t>EC-CBX3536</t>
  </si>
  <si>
    <t>EC-CBX3540</t>
  </si>
  <si>
    <t>EC-CBX3560</t>
  </si>
  <si>
    <t>EC-CBX4024</t>
  </si>
  <si>
    <t>EC-CBX4036</t>
  </si>
  <si>
    <t>EC-CBX4040</t>
  </si>
  <si>
    <t>EC-CBX4060</t>
  </si>
  <si>
    <t>EC-CBX5024</t>
  </si>
  <si>
    <t>EC-CBX5036</t>
  </si>
  <si>
    <t>EC-CBX5040</t>
  </si>
  <si>
    <t>EC-CBX5060</t>
  </si>
  <si>
    <t>EC-IRX0524</t>
  </si>
  <si>
    <t>EC-IRX0536</t>
  </si>
  <si>
    <t>EC-IRX0540</t>
  </si>
  <si>
    <t>EC-IRX0560</t>
  </si>
  <si>
    <t>EC-IRX1524</t>
  </si>
  <si>
    <t>EC-IRX1536</t>
  </si>
  <si>
    <t>EC-IRX1540</t>
  </si>
  <si>
    <t>EC-IRX1560</t>
  </si>
  <si>
    <t>EC-IRX2024</t>
  </si>
  <si>
    <t>EC-IRX2036</t>
  </si>
  <si>
    <t>EC-IRX2040</t>
  </si>
  <si>
    <t>EC-IRX2060</t>
  </si>
  <si>
    <t>EC-IRX3524</t>
  </si>
  <si>
    <t>EC-IRX3536</t>
  </si>
  <si>
    <t>EC-IRX3540</t>
  </si>
  <si>
    <t>EC-IRX3560</t>
  </si>
  <si>
    <t>EC-IRX4024</t>
  </si>
  <si>
    <t>EC-IRX4036</t>
  </si>
  <si>
    <t>EC-IRX4040</t>
  </si>
  <si>
    <t>EC-IRX4060</t>
  </si>
  <si>
    <t>EC-IRX7024LAH</t>
  </si>
  <si>
    <t>EC-IRX7036LAH</t>
  </si>
  <si>
    <t>EC-IRX7040LAH</t>
  </si>
  <si>
    <t>EC-IRX7060LAH</t>
  </si>
  <si>
    <t>Geoshield</t>
  </si>
  <si>
    <t>Hitek</t>
  </si>
  <si>
    <t>UVIRON</t>
  </si>
  <si>
    <t>Description</t>
  </si>
  <si>
    <t>Price</t>
  </si>
  <si>
    <t>(40/20)</t>
  </si>
  <si>
    <t>(36/24)</t>
  </si>
  <si>
    <t>(36/12/12)</t>
  </si>
  <si>
    <t>(24/24/12)</t>
  </si>
  <si>
    <t>(24/12/12/12)</t>
  </si>
  <si>
    <t>(5*12)</t>
  </si>
  <si>
    <t>(20/20/20)</t>
  </si>
  <si>
    <t>Width Slitting</t>
  </si>
  <si>
    <t>EC-ALP+X0540</t>
  </si>
  <si>
    <t>EC-ALP+X0560</t>
  </si>
  <si>
    <t>EC-ALP+X1540</t>
  </si>
  <si>
    <t>EC-ALP+X1560</t>
  </si>
  <si>
    <t>EC-ALP+X2040</t>
  </si>
  <si>
    <t>EC-ALP+X2060</t>
  </si>
  <si>
    <t>EC-ALP+X3540</t>
  </si>
  <si>
    <t>EC-ALP+X3560</t>
  </si>
  <si>
    <t>EC-ALP+X5040LAH</t>
  </si>
  <si>
    <t>EC-ALP+X5060LAH</t>
  </si>
  <si>
    <t>EC-ALP+X7040LAH</t>
  </si>
  <si>
    <t>EC-ALP+X7060LAH</t>
  </si>
  <si>
    <t>B-IC-CB0224 (iCool Carbon, 02% 24" x 100')</t>
  </si>
  <si>
    <t>B-IC-CB0236 (iCool Carbon, 02% 36" x 100')</t>
  </si>
  <si>
    <t>B-IC-CB0240 (iCool Carbon, 02% 40" x 100')</t>
  </si>
  <si>
    <t>B-IC-CB0260 (iCool Carbon, 02% 60" x 100')</t>
  </si>
  <si>
    <t>B-IC-CB0524 (iCool Carbon, 05% 24" x 100')</t>
  </si>
  <si>
    <t>B-IC-CB0536 (iCool Carbon, 05% 36" x 100')</t>
  </si>
  <si>
    <t>B-IC-CB0540 (iCool Carbon, 05% 40" x 100')</t>
  </si>
  <si>
    <t>B-IC-CB0560 (iCool Carbon, 05% 60" x 100')</t>
  </si>
  <si>
    <t>B-IC-CB1524 (iCool Carbon, 15% 24" x 100')</t>
  </si>
  <si>
    <t>B-IC-CB1536 (iCool Carbon, 15% 36" x 100')</t>
  </si>
  <si>
    <t>B-IC-CB1540 (iCool Carbon, 15% 40" x 100')</t>
  </si>
  <si>
    <t>B-IC-CB1560 (iCool Carbon, 15% 60" x 100')</t>
  </si>
  <si>
    <t>B-IC-CB2024 (iCool Carbon, 20% 24" x 100')</t>
  </si>
  <si>
    <t>B-IC-CB2036 (iCool Carbon, 20% 36" x 100')</t>
  </si>
  <si>
    <t>B-IC-CB2040 (iCool Carbon, 20% 40" x 100')</t>
  </si>
  <si>
    <t>B-IC-CB2060 (iCool Carbon, 20% 60" x 100')</t>
  </si>
  <si>
    <t>B-IC-CB3024 (iCool Carbon, 30% 24" x 100')</t>
  </si>
  <si>
    <t>B-IC-CB3036 (iCool Carbon, 30% 36" x 100')</t>
  </si>
  <si>
    <t>B-IC-CB3040 (iCool Carbon, 30% 40" x 100')</t>
  </si>
  <si>
    <t>B-IC-CB3060 (iCool Carbon, 30% 60" x 100')</t>
  </si>
  <si>
    <t>B-IC-CB3524 (iCool Carbon, 35% 24" x 100')</t>
  </si>
  <si>
    <t>B-IC-CB3536 (iCool Carbon, 35% 36" x 100')</t>
  </si>
  <si>
    <t>B-IC-CB3540 (iCool Carbon, 35% 40" x 100')</t>
  </si>
  <si>
    <t>B-IC-CB3560 (iCool Carbon, 35% 60" x 100')</t>
  </si>
  <si>
    <t>B-IC-CB4024 (iCool Carbon, 40% 24" x 100')</t>
  </si>
  <si>
    <t>B-IC-CB4036 (iCool Carbon, 40% 36" x 100')</t>
  </si>
  <si>
    <t>B-IC-CB4040 (iCool Carbon, 40% 40" x 100')</t>
  </si>
  <si>
    <t>B-IC-CB4060 (iCool Carbon, 40% 60" x 100')</t>
  </si>
  <si>
    <t>B-IC-CB5024 (iCool Carbon, 50% 24" x 100')</t>
  </si>
  <si>
    <t>B-IC-CB5036 (iCool Carbon, 50% 36" x 100')</t>
  </si>
  <si>
    <t>B-IC-CB5040 (iCool Carbon, 50% 40" x 100')</t>
  </si>
  <si>
    <t>B-IC-CB5060 (iCool Carbon, 50% 60" x 100')</t>
  </si>
  <si>
    <t>B-IC-IRP0224 (iCool Ceramic Premium IR, 02% 24" x 100')</t>
  </si>
  <si>
    <t>B-IC-IRP0236 (iCool Ceramic Premium IR, 02% 36" x 100')</t>
  </si>
  <si>
    <t>B-IC-IRP0240 (iCool Ceramic Premium IR, 02% 40" x 100')</t>
  </si>
  <si>
    <t>B-IC-IRP0260 (iCool Ceramic Premium IR, 02% 60" x 100')</t>
  </si>
  <si>
    <t>B-IC-IRP0524 (iCool Ceramic Premium IR, 05% 24" x 100')</t>
  </si>
  <si>
    <t>B-IC-IRP0536 (iCool Ceramic Premium IR, 05% 36" x 100')</t>
  </si>
  <si>
    <t>B-IC-IRP0540 (iCool Ceramic Premium IR, 05% 40" x 100')</t>
  </si>
  <si>
    <t>B-IC-IRP0560 (iCool Ceramic Premium IR, 05% 60" x 100')</t>
  </si>
  <si>
    <t>B-IC-IRP1524 (iCool Ceramic Premium IR, 15% 24" x 100')</t>
  </si>
  <si>
    <t>B-IC-IRP1536 (iCool Ceramic Premium IR, 15% 36" x 100')</t>
  </si>
  <si>
    <t>B-IC-IRP1540 (iCool Ceramic Premium IR, 15% 40" x 100')</t>
  </si>
  <si>
    <t>B-IC-IRP1560 (iCool Ceramic Premium IR, 15% 60" x 100')</t>
  </si>
  <si>
    <t>B-IC-IRP2024 (iCool Ceramic Premium IR, 20% 24" x 100')</t>
  </si>
  <si>
    <t>B-IC-IRP2036 (iCool Ceramic Premium IR, 20% 36" x 100')</t>
  </si>
  <si>
    <t>B-IC-IRP2040 (iCool Ceramic Premium IR, 20% 40" x 100')</t>
  </si>
  <si>
    <t>B-IC-IRP2060 (iCool Ceramic Premium IR, 20% 60" x 100')</t>
  </si>
  <si>
    <t>B-IC-IRP3024 (iCool Ceramic Premium IR, 30% 24" x 100')</t>
  </si>
  <si>
    <t>B-IC-IRP3036 (iCool Ceramic Premium IR, 30% 36" x 100')</t>
  </si>
  <si>
    <t>B-IC-IRP3040 (iCool Ceramic Premium IR, 30% 40" x 100')</t>
  </si>
  <si>
    <t>B-IC-IRP3060 (iCool Ceramic Premium IR, 30% 60" x 100')</t>
  </si>
  <si>
    <t>B-IC-IRP3524 (iCool Ceramic Premium IR, 35% 24" x 100')</t>
  </si>
  <si>
    <t>B-IC-IRP3536 (iCool Ceramic Premium IR, 35% 36" x 100')</t>
  </si>
  <si>
    <t>B-IC-IRP3540 (iCool Ceramic Premium IR, 35% 40" x 100')</t>
  </si>
  <si>
    <t>B-IC-IRP3560 (iCool Ceramic Premium IR, 35% 60" x 100')</t>
  </si>
  <si>
    <t>B-IC-IRP4024 (iCool Ceramic Premium IR, 40% 24" x 100')</t>
  </si>
  <si>
    <t>B-IC-IRP4036 (iCool Ceramic Premium IR, 40% 36" x 100')</t>
  </si>
  <si>
    <t>B-IC-IRP4040 (iCool Ceramic Premium IR, 40% 40" x 100')</t>
  </si>
  <si>
    <t>B-IC-IRP4060 (iCool Ceramic Premium IR, 40% 60" x 100')</t>
  </si>
  <si>
    <t>B-IC-IRP5024 (iCool Ceramic Premium IR, 50% 24" x 100')</t>
  </si>
  <si>
    <t>B-IC-IRP5036 (iCool Ceramic Premium IR, 50% 36" x 100')</t>
  </si>
  <si>
    <t>B-IC-IRP5040 (iCool Ceramic Premium IR, 50% 40" x 100')</t>
  </si>
  <si>
    <t>B-IC-IRP5060 (iCool Ceramic Premium IR, 50% 60" x 100')</t>
  </si>
  <si>
    <t>B-IC-IRP7024 (iCool Ceramic Premium IR, 70% 24" x 100')</t>
  </si>
  <si>
    <t>B-IC-IRP7036 (iCool Ceramic Premium IR, 70% 36" x 100')</t>
  </si>
  <si>
    <t>B-IC-IRP7040 (iCool Ceramic Premium IR, 70% 40" x 100')</t>
  </si>
  <si>
    <t>B-IC-IRP7060 (iCool Ceramic Premium IR, 70% 60" x 100')</t>
  </si>
  <si>
    <t>B-EC-ALP+X0540 (Megamax EC-ALP+X, 05% 40" X 100')</t>
  </si>
  <si>
    <t>B-EC-ALP+X1540 (Megamax EC-ALP+X, 15% 40" X 100')</t>
  </si>
  <si>
    <t>B-EC-ALP+X2040 (Megamax EC-ALP+X, 20% 40" X 100')</t>
  </si>
  <si>
    <t>B-EC-ALP+X3540 (Megamax EC-ALP+X, 35% 40" X 100')</t>
  </si>
  <si>
    <t>B-EC-ALP+X5040 (Megamax EC-ALP+X, 50% 40" X 100')</t>
  </si>
  <si>
    <t>B-EC-ALP+X7040 (Megamax EC-ALP+X, 70% 40" X 100')</t>
  </si>
  <si>
    <t>B-IC-ALP+2-0524 (iCool Ceramic Alpha Plus ULTRA, 05% 24" x 100')</t>
  </si>
  <si>
    <t>B-IC-ALP+2-0536 (iCool Ceramic Alpha Plus ULTRA, 05% 36" x 100')</t>
  </si>
  <si>
    <t>B-IC-ALP+2-0540 (iCool Ceramic Alpha Plus ULTRA, 05% 40" x 100')</t>
  </si>
  <si>
    <t>B-IC-ALP+2-0560 (iCool Ceramic Alpha Plus ULTRA, 05% 60" x 100')</t>
  </si>
  <si>
    <t>B-IC-ALP+2-1524 (iCool Ceramic Alpha Plus ULTRA, 15% 24" x 100')</t>
  </si>
  <si>
    <t>B-IC-ALP+2-1536 (iCool Ceramic Alpha Plus ULTRA, 15% 36" x 100')</t>
  </si>
  <si>
    <t>B-IC-ALP+2-1540 (iCool Ceramic Alpha Plus ULTRA, 15% 40" x 100')</t>
  </si>
  <si>
    <t>B-IC-ALP+2-1560 (iCool Ceramic Alpha Plus ULTRA, 15% 60" x 100')</t>
  </si>
  <si>
    <t>B-IC-ALP+2-2024 (iCool Ceramic Alpha Plus ULTRA, 20% 24" x 100')</t>
  </si>
  <si>
    <t>B-IC-ALP+2-2036 (iCool Ceramic Alpha Plus ULTRA, 20% 36" x 100')</t>
  </si>
  <si>
    <t>B-IC-ALP+2-2040 (iCool Ceramic Alpha Plus ULTRA, 20% 40" x 100')</t>
  </si>
  <si>
    <t>B-IC-ALP+2-2060 (iCool Ceramic Alpha Plus ULTRA, 20% 60" x 100')</t>
  </si>
  <si>
    <t>B-IC-ALP+2-3024 (iCool Ceramic Alpha Plus ULTRA, 30% 24" x 100')</t>
  </si>
  <si>
    <t>B-IC-ALP+2-3036 (iCool Ceramic Alpha Plus ULTRA, 30% 36" x 100')</t>
  </si>
  <si>
    <t>B-IC-ALP+2-3040 (iCool Ceramic Alpha Plus ULTRA, 30% 40" x 100')</t>
  </si>
  <si>
    <t>B-IC-ALP+2-3060 (iCool Ceramic Alpha Plus ULTRA, 30% 60" x 100')</t>
  </si>
  <si>
    <t>B-IC-ALP+2-4024 (iCool Ceramic Alpha Plus ULTRA, 40% 24" x 100')</t>
  </si>
  <si>
    <t>B-IC-ALP+2-4036 (iCool Ceramic Alpha Plus ULTRA, 40% 36" x 100')</t>
  </si>
  <si>
    <t>B-IC-ALP+2-4040 (iCool Ceramic Alpha Plus ULTRA, 40% 40" x 100')</t>
  </si>
  <si>
    <t>B-IC-ALP+2-4060 (iCool Ceramic Alpha Plus ULTRA, 40% 60" x 100')</t>
  </si>
  <si>
    <t>B-IC-ALP+2-5024 (iCool Ceramic Alpha Plus ULTRA, 50% 24" x 100')</t>
  </si>
  <si>
    <t>B-IC-ALP+2-5036 (iCool Ceramic Alpha Plus ULTRA, 50% 36" x 100')</t>
  </si>
  <si>
    <t>B-IC-ALP+2-5040 (iCool Ceramic Alpha Plus ULTRA, 50% 40" x 100')</t>
  </si>
  <si>
    <t>B-IC-ALP+2-5060 (iCool Ceramic Alpha Plus ULTRA, 50% 60" x 100')</t>
  </si>
  <si>
    <t>B-IC-ALP+2-7024 (iCool Ceramic Alpha Plus ULTRA, 70% 24" x 100')</t>
  </si>
  <si>
    <t>B-IC-ALP+2-7036 (iCool Ceramic Alpha Plus ULTRA, 70% 36" x 100')</t>
  </si>
  <si>
    <t>B-IC-ALP+2-7040 (iCool Ceramic Alpha Plus ULTRA, 70% 40" x 100')</t>
  </si>
  <si>
    <t>B-IC-ALP+2-7060 (iCool Ceramic Alpha Plus ULTRA, 70% 60" x 100')</t>
  </si>
  <si>
    <t>IC-ALP+U0524</t>
  </si>
  <si>
    <t>IC-ALP+U0536</t>
  </si>
  <si>
    <t>IC-ALP+U0540</t>
  </si>
  <si>
    <t>IC-ALP+U0560</t>
  </si>
  <si>
    <t>IC-ALP+U1524</t>
  </si>
  <si>
    <t>IC-ALP+U1536</t>
  </si>
  <si>
    <t>IC-ALP+U1540</t>
  </si>
  <si>
    <t>IC-ALP+U1560</t>
  </si>
  <si>
    <t>IC-ALP+U2024</t>
  </si>
  <si>
    <t>IC-ALP+U2036</t>
  </si>
  <si>
    <t>IC-ALP+U2040</t>
  </si>
  <si>
    <t>IC-ALP+U2060</t>
  </si>
  <si>
    <t>IC-ALP+U3024</t>
  </si>
  <si>
    <t>IC-ALP+U3036</t>
  </si>
  <si>
    <t>IC-ALP+U3040</t>
  </si>
  <si>
    <t>IC-ALP+U3060</t>
  </si>
  <si>
    <t>IC-ALP+U4024</t>
  </si>
  <si>
    <t>IC-ALP+U4036</t>
  </si>
  <si>
    <t>IC-ALP+U4040</t>
  </si>
  <si>
    <t>IC-ALP+U4060</t>
  </si>
  <si>
    <t>IC-ALP+U5024LAH</t>
  </si>
  <si>
    <t>IC-ALP+U5036LAH</t>
  </si>
  <si>
    <t>IC-ALP+U5040LAH</t>
  </si>
  <si>
    <t>IC-ALP+U5060LAH</t>
  </si>
  <si>
    <t>IC-ALP+U7024LAH</t>
  </si>
  <si>
    <t>IC-ALP+U7036LAH</t>
  </si>
  <si>
    <t>IC-ALP+U7040LAH</t>
  </si>
  <si>
    <t>IC-ALP+U7060LAH</t>
  </si>
  <si>
    <t>Alpha Plus 5</t>
  </si>
  <si>
    <t>Alpha Plus 15</t>
  </si>
  <si>
    <t>Alpha Plus 20</t>
  </si>
  <si>
    <t>Alpha Plus 30</t>
  </si>
  <si>
    <t>Alpha Plus 40</t>
  </si>
  <si>
    <t>Alpha Plus 50(LAH)</t>
  </si>
  <si>
    <t>Alpha Plus 70(LAH)</t>
  </si>
  <si>
    <t>Puremax 5</t>
  </si>
  <si>
    <t>Puremax 15</t>
  </si>
  <si>
    <t>Puremax 20</t>
  </si>
  <si>
    <t>Puremax 25</t>
  </si>
  <si>
    <t>Puremax 35</t>
  </si>
  <si>
    <t>Puremax 40</t>
  </si>
  <si>
    <t>Puremax 50</t>
  </si>
  <si>
    <t>Koolmax 5</t>
  </si>
  <si>
    <t>Koolmax 15</t>
  </si>
  <si>
    <t>Koolmax 20</t>
  </si>
  <si>
    <t>Koolmax 35</t>
  </si>
  <si>
    <t>Koolmax 40</t>
  </si>
  <si>
    <t>Koolmax 70(LAH)</t>
  </si>
  <si>
    <t>EC-IRX5024</t>
  </si>
  <si>
    <t>EC-IRX5036</t>
  </si>
  <si>
    <t>EC-IRX5040</t>
  </si>
  <si>
    <t>EC-IRX5060</t>
  </si>
  <si>
    <t>Koolmax 50</t>
  </si>
  <si>
    <t>IC-ALP+0524</t>
  </si>
  <si>
    <t>IC-ALP+0536</t>
  </si>
  <si>
    <t>IC-ALP+0540</t>
  </si>
  <si>
    <t>IC-ALP+0560</t>
  </si>
  <si>
    <t>IC-ALP+1524</t>
  </si>
  <si>
    <t>IC-ALP+1536</t>
  </si>
  <si>
    <t>IC-ALP+1540</t>
  </si>
  <si>
    <t>IC-ALP+1560</t>
  </si>
  <si>
    <t>IC-ALP+2024</t>
  </si>
  <si>
    <t>IC-ALP+2036</t>
  </si>
  <si>
    <t>IC-ALP+2040</t>
  </si>
  <si>
    <t>IC-ALP+2060</t>
  </si>
  <si>
    <t>IC-ALP+3024</t>
  </si>
  <si>
    <t>IC-ALP+3036</t>
  </si>
  <si>
    <t>IC-ALP+3040</t>
  </si>
  <si>
    <t>IC-ALP+3060</t>
  </si>
  <si>
    <t>IC-ALP+4024</t>
  </si>
  <si>
    <t>IC-ALP+4036</t>
  </si>
  <si>
    <t>IC-ALP+4040</t>
  </si>
  <si>
    <t>IC-ALP+4060</t>
  </si>
  <si>
    <t>IC-ALP+5024LAH</t>
  </si>
  <si>
    <t>IC-ALP+5036LAH</t>
  </si>
  <si>
    <t>IC-ALP+5040LAH</t>
  </si>
  <si>
    <t>IC-ALP+5060LAH</t>
  </si>
  <si>
    <t>IC-ALP+7024LAH</t>
  </si>
  <si>
    <t>IC-ALP+7036LAH</t>
  </si>
  <si>
    <t>IC-ALP+7040LAH</t>
  </si>
  <si>
    <t>IC-ALP+7060LAH</t>
  </si>
  <si>
    <t>B-IC-ALP+0524 (iCool Ceramic Alpha Plus IR, 05% 24" x 100')</t>
  </si>
  <si>
    <t>B-IC-ALP+0536 (iCool Ceramic Alpha Plus IR, 05% 36" x 100')</t>
  </si>
  <si>
    <t>B-IC-ALP+0540 (iCool Ceramic Alpha Plus IR, 05% 40" x 100')</t>
  </si>
  <si>
    <t>B-IC-ALP+0560 (iCool Ceramic Alpha Plus IR, 05% 60" x 100')</t>
  </si>
  <si>
    <t>B-IC-ALP+1524 (iCool Ceramic Alpha Plus IR, 15% 24" x 100')</t>
  </si>
  <si>
    <t>B-IC-ALP+1536 (iCool Ceramic Alpha Plus IR, 15% 36" x 100')</t>
  </si>
  <si>
    <t>B-IC-ALP+1540 (iCool Ceramic Alpha Plus IR, 15% 40" x 100')</t>
  </si>
  <si>
    <t>B-IC-ALP+1560 (iCool Ceramic Alpha Plus IR, 15% 60" x 100')</t>
  </si>
  <si>
    <t>B-IC-ALP+2024 (iCool Ceramic Alpha Plus IR, 20% 24" x 100')</t>
  </si>
  <si>
    <t>B-IC-ALP+2036 (iCool Ceramic Alpha Plus IR, 20% 36" x 100')</t>
  </si>
  <si>
    <t>B-IC-ALP+2040 (iCool Ceramic Alpha Plus IR, 20% 40" x 100')</t>
  </si>
  <si>
    <t>B-IC-ALP+2060 (iCool Ceramic Alpha Plus IR, 20% 60" x 100')</t>
  </si>
  <si>
    <t>B-IC-ALP+3024 (iCool Ceramic Alpha Plus IR, 30% 24" x 100')</t>
  </si>
  <si>
    <t>B-IC-ALP+3036 (iCool Ceramic Alpha Plus IR, 30% 36" x 100')</t>
  </si>
  <si>
    <t>B-IC-ALP+3040 (iCool Ceramic Alpha Plus IR, 30% 40" x 100')</t>
  </si>
  <si>
    <t>B-IC-ALP+3060 (iCool Ceramic Alpha Plus IR, 30% 60" x 100')</t>
  </si>
  <si>
    <t>B-IC-ALP+4024 (iCool Ceramic Alpha Plus IR, 40% 24" x 100')</t>
  </si>
  <si>
    <t>B-IC-ALP+4036 (iCool Ceramic Alpha Plus IR, 40% 36" x 100')</t>
  </si>
  <si>
    <t>B-IC-ALP+4040 (iCool Ceramic Alpha Plus IR, 40% 40" x 100')</t>
  </si>
  <si>
    <t>B-IC-ALP+4060 (iCool Ceramic Alpha Plus IR, 40% 60" x 100')</t>
  </si>
  <si>
    <t>B-IC-ALP+5024 (iCool Ceramic Alpha Plus IR, 50% 24" x 100')</t>
  </si>
  <si>
    <t>B-IC-ALP+5036 (iCool Ceramic Alpha Plus IR, 50% 36" x 100')</t>
  </si>
  <si>
    <t>B-IC-ALP+5040 (iCool Ceramic Alpha Plus IR, 50% 40" x 100')</t>
  </si>
  <si>
    <t>B-IC-ALP+5060 (iCool Ceramic Alpha Plus IR, 50% 60" x 100')</t>
  </si>
  <si>
    <t>B-IC-ALP+7024 (iCool Ceramic Alpha Plus IR, 70% 24" x 100')</t>
  </si>
  <si>
    <t>B-IC-ALP+7036 (iCool Ceramic Alpha Plus IR, 70% 36" x 100')</t>
  </si>
  <si>
    <t>B-IC-ALP+7040 (iCool Ceramic Alpha Plus IR, 70% 40" x 100')</t>
  </si>
  <si>
    <t>B-IC-ALP+7060 (iCool Ceramic Alpha Plus IR, 70% 60" x 100')</t>
  </si>
  <si>
    <t>SMP</t>
  </si>
  <si>
    <t>(iCool Carbon, 05% 40" x 100')</t>
  </si>
  <si>
    <t>(iCool Carbon, 05% 60" x 100')</t>
  </si>
  <si>
    <t>(iCool Carbon, 15% 40" x 100')</t>
  </si>
  <si>
    <t>(iCool Carbon, 15% 60" x 100')</t>
  </si>
  <si>
    <t>(iCool Carbon, 20% 40" x 100')</t>
  </si>
  <si>
    <t>(iCool Carbon, 20% 60" x 100')</t>
  </si>
  <si>
    <t>(iCool Carbon, 35% 40" x 100')</t>
  </si>
  <si>
    <t>(iCool Carbon, 35% 60" x 100')</t>
  </si>
  <si>
    <t>(iCool Carbon, 50% 40" x 100')</t>
  </si>
  <si>
    <t>(iCool Carbon, 50% 60" x 100')</t>
  </si>
  <si>
    <t>(iCool Carbon, 40% 40" x 100')</t>
  </si>
  <si>
    <t>(iCool Carbon, 40% 60" x 100')</t>
  </si>
  <si>
    <t>(iCool Ceramic Premium IR, 05% 40" x 100')</t>
  </si>
  <si>
    <t>(iCool Ceramic Premium IR, 05% 60" x 100')</t>
  </si>
  <si>
    <t>(iCool Ceramic Premium IR, 35% 40" x 100')</t>
  </si>
  <si>
    <t>(iCool Ceramic Premium IR, 35% 60" x 100')</t>
  </si>
  <si>
    <t>(iCool Ceramic Premium IR, 15% 40" x 100')</t>
  </si>
  <si>
    <t>(iCool Ceramic Premium IR, 15% 60" x 100')</t>
  </si>
  <si>
    <t>(iCool Ceramic Premium IR, 20% 40" x 100')</t>
  </si>
  <si>
    <t>(iCool Ceramic Premium IR, 20% 60" x 100')</t>
  </si>
  <si>
    <t>(iCool Ceramic Premium IR, 70% 40" x 100')</t>
  </si>
  <si>
    <t>(iCool Ceramic Premium IR, 70% 60" x 100')</t>
  </si>
  <si>
    <t>(iCool Ceramic Premium IR, 50% 40" x 100')</t>
  </si>
  <si>
    <t>(iCool Ceramic Premium IR, 50% 60" x 100')</t>
  </si>
  <si>
    <t>(iCool Ceramic Premium IR, 40% 40" x 100')</t>
  </si>
  <si>
    <t>(iCool Ceramic Premium IR, 40% 60" x 100')</t>
  </si>
  <si>
    <t>(iCool Ceramic Alpha Plus IR, 05% 40" x 100')</t>
  </si>
  <si>
    <t>(iCool Ceramic Alpha Plus IR, 05% 60" x 100')</t>
  </si>
  <si>
    <t>B-IC-ALP+3524 (iCool Ceramic Alpha Plus IR, 35% 24" x 100')</t>
  </si>
  <si>
    <t>IC-ALP+3524</t>
  </si>
  <si>
    <t>B-IC-ALP+3536 (iCool Ceramic Alpha Plus IR, 35% 36" x 100')</t>
  </si>
  <si>
    <t>IC-ALP+3536</t>
  </si>
  <si>
    <t>B-IC-ALP+3540 (iCool Ceramic Alpha Plus IR, 35% 40" x 100')</t>
  </si>
  <si>
    <t>IC-ALP+3540</t>
  </si>
  <si>
    <t>B-IC-ALP+3560 (iCool Ceramic Alpha Plus IR, 35% 60" x 100')</t>
  </si>
  <si>
    <t>IC-ALP+3560</t>
  </si>
  <si>
    <t>B-IC-ALP+2-3524 (iCool Ceramic Alpha Plus ULTRA, 35% 24" x 100')</t>
  </si>
  <si>
    <t>IC-ALP+U3524</t>
  </si>
  <si>
    <t>Alpha Plus 35</t>
  </si>
  <si>
    <t>B-IC-ALP+2-3536 (iCool Ceramic Alpha Plus ULTRA, 35% 36" x 100')</t>
  </si>
  <si>
    <t>IC-ALP+U3536</t>
  </si>
  <si>
    <t>B-IC-ALP+2-3540 (iCool Ceramic Alpha Plus ULTRA, 35% 40" x 100')</t>
  </si>
  <si>
    <t>IC-ALP+U3540</t>
  </si>
  <si>
    <t>B-IC-ALP+2-3560 (iCool Ceramic Alpha Plus ULTRA, 35% 60" x 100')</t>
  </si>
  <si>
    <t>IC-ALP+U3560</t>
  </si>
  <si>
    <t>(iCool Ceramic Alpha Plus ULTRA, 05% 40" x 100')</t>
  </si>
  <si>
    <t>(iCool Ceramic Alpha Plus ULTRA, 05% 60" x 100')</t>
  </si>
  <si>
    <t>(iCool Ceramic Alpha Plus ULTRA, 15% 40" x 100')</t>
  </si>
  <si>
    <t>(iCool Ceramic Alpha Plus ULTRA, 15% 60" x 100')</t>
  </si>
  <si>
    <t>(iCool Ceramic Alpha Plus ULTRA, 70% 40" x 100')</t>
  </si>
  <si>
    <t>(iCool Ceramic Alpha Plus ULTRA, 70% 60" x 100')</t>
  </si>
  <si>
    <t>(iCool Ceramic Alpha Plus ULTRA, 50% 40" x 100')</t>
  </si>
  <si>
    <t>(iCool Ceramic Alpha Plus ULTRA, 50% 60" x 100')</t>
  </si>
  <si>
    <t>(iCool Ceramic Alpha Plus ULTRA, 40% 40" x 100')</t>
  </si>
  <si>
    <t>(iCool Ceramic Alpha Plus ULTRA, 40% 60" x 100')</t>
  </si>
  <si>
    <t>(iCool Ceramic Alpha Plus ULTRA, 35% 40" x 100')</t>
  </si>
  <si>
    <t>(iCool Ceramic Alpha Plus ULTRA, 35% 60" x 100')</t>
  </si>
  <si>
    <t>(iCool Ceramic Alpha Plus ULTRA, 20% 40" x 100')</t>
  </si>
  <si>
    <t>(iCool Ceramic Alpha Plus ULTRA, 20% 60" x 100')</t>
  </si>
  <si>
    <t>(iCool Ceramic Alpha Plus IR, 15% 40" x 100')</t>
  </si>
  <si>
    <t>(iCool Ceramic Alpha Plus IR, 15% 60" x 100')</t>
  </si>
  <si>
    <t>(iCool Ceramic Alpha Plus IR, 20% 40" x 100')</t>
  </si>
  <si>
    <t>(iCool Ceramic Alpha Plus IR, 20% 60" x 100')</t>
  </si>
  <si>
    <t>(iCool Ceramic Alpha Plus IR, 35% 40" x 100')</t>
  </si>
  <si>
    <t>(iCool Ceramic Alpha Plus IR, 35% 60" x 100')</t>
  </si>
  <si>
    <t>(iCool Ceramic Alpha Plus IR, 40% 40" x 100')</t>
  </si>
  <si>
    <t>(iCool Ceramic Alpha Plus IR, 40% 60" x 100')</t>
  </si>
  <si>
    <t>(iCool Ceramic Alpha Plus IR, 50% 40" x 100')</t>
  </si>
  <si>
    <t>(iCool Ceramic Alpha Plus IR, 50% 60" x 100')</t>
  </si>
  <si>
    <t>(iCool Ceramic Alpha Plus IR, 70% 40" x 100')</t>
  </si>
  <si>
    <t>(iCool Ceramic Alpha Plus IR, 70% 60" x 100')</t>
  </si>
  <si>
    <t>(PPF, Premium Guard Clear 60"x50')</t>
  </si>
  <si>
    <t>(PPF, Premium Guard Black 60"x50')</t>
  </si>
  <si>
    <t>(PPF, Premium Guard Matte Black 60"x50')</t>
  </si>
  <si>
    <t>(PPF, Premium Guard Matte Clear 60"x50')</t>
  </si>
  <si>
    <t>B-SC-EV1560 (iCool Eclipse Vision, 15% 60" x 100')</t>
  </si>
  <si>
    <t>B-SC-EV1572 (iCool Eclipse Vision, 15% 72" x 100')</t>
  </si>
  <si>
    <t>SC-EV1560</t>
  </si>
  <si>
    <t>SC-EV1572</t>
  </si>
  <si>
    <t>(iCool Eclipse Vision, 15% 60" x 100')</t>
  </si>
  <si>
    <t>(iCool Eclipse Vision, 15% 72" x 100')</t>
  </si>
  <si>
    <t>B-SC-EV2560 (iCool Eclipse Vision, 25% 60" x 100')</t>
  </si>
  <si>
    <t>SC-EV2560</t>
  </si>
  <si>
    <t>(iCool Eclipse Vision, 25% 60" x 100')</t>
  </si>
  <si>
    <t>B-SC-EV2572 (iCool Eclipse Vision, 25% 72" x 100')</t>
  </si>
  <si>
    <t>SC-EV2572</t>
  </si>
  <si>
    <t>(iCool Eclipse Vision, 25% 72" x 100')</t>
  </si>
  <si>
    <t>SC-DR1560</t>
  </si>
  <si>
    <t>SC-DR1572</t>
  </si>
  <si>
    <t>B-SC-DR1560 (iCool Dual Reflective, 15% 60" x 100')</t>
  </si>
  <si>
    <t>(iCool Dual Reflective, 15% 60" x 100')</t>
  </si>
  <si>
    <t>B-SC-DR1572 (iCool Dual Reflective, 15% 72" x 100')</t>
  </si>
  <si>
    <t>(iCool Dual Reflective, 15% 72" x 100')</t>
  </si>
  <si>
    <t>B-SC-DR0560 (iCool Dual Reflective, 05% 60" x 100')</t>
  </si>
  <si>
    <t>SC-DR0560</t>
  </si>
  <si>
    <t>(iCool Dual Reflective, 05% 60" x 100')</t>
  </si>
  <si>
    <t>B-SC-DR0572 (iCool Dual Reflective, 05% 72" x 100')</t>
  </si>
  <si>
    <t>SC-DR0572</t>
  </si>
  <si>
    <t>(iCool Dual Reflective, 05% 72" x 100')</t>
  </si>
  <si>
    <t>B-SC-DR2560 (iCool Dual Reflective, 25% 60" x 100')</t>
  </si>
  <si>
    <t>SC-DR2560</t>
  </si>
  <si>
    <t>(iCool Dual Reflective, 25% 60" x 100')</t>
  </si>
  <si>
    <t>B-SC-DR2572 (iCool Dual Reflective, 25% 72" x 100')</t>
  </si>
  <si>
    <t>SC-DR2572</t>
  </si>
  <si>
    <t>(iCool Dual Reflective, 25% 72" x 100')</t>
  </si>
  <si>
    <t>B-SC-DR3560 (iCool Dual Reflective, 35% 60" x 100')</t>
  </si>
  <si>
    <t>SC-DR3560</t>
  </si>
  <si>
    <t>(iCool Dual Reflective, 35% 60" x 100')</t>
  </si>
  <si>
    <t>B-SC-DR3572 (iCool Dual Reflective, 35% 72" x 100')</t>
  </si>
  <si>
    <t>SC-DR3572</t>
  </si>
  <si>
    <t>(iCool Dual Reflective, 35% 72" x 100')</t>
  </si>
  <si>
    <t>(C2 Carbon, 02% 40" x 100') GEOSHIELD</t>
  </si>
  <si>
    <t>(C2 Carbon, 05% 40" x 100') GEOSHIELD</t>
  </si>
  <si>
    <t>(C2 Carbon, 15% 40" x 100') GEOSHIELD</t>
  </si>
  <si>
    <t>(C2 Carbon, 20% 40" x 100') GEOSHIELD</t>
  </si>
  <si>
    <t>(C2 Carbon, 30% 40" x 100') GEOSHIELD</t>
  </si>
  <si>
    <t>(C2 Carbon, 35% 40" x 100') GEOSHIELD</t>
  </si>
  <si>
    <t>(C2 Carbon, 40% 40" x 100') GEOSHIELD</t>
  </si>
  <si>
    <t>(C2 Carbon, 50% 40" x 100') GEOSHIELD</t>
  </si>
  <si>
    <t>(C2 Ceramic, 05% 40" x 100') GEOSHIELD</t>
  </si>
  <si>
    <t>(C2 Ceramic, 15% 40" x 100') GEOSHIELD</t>
  </si>
  <si>
    <t>(C2 Ceramic, 20% 40" x 100') GEOSHIELD</t>
  </si>
  <si>
    <t>(C2 Ceramic, 30% 40" x 100') GEOSHIELD</t>
  </si>
  <si>
    <t>(C2 Ceramic, 35% 40" x 100') GEOSHIELD</t>
  </si>
  <si>
    <t>(C2 Ceramic, 40% 40" x 100') GEOSHIELD</t>
  </si>
  <si>
    <t>(C2 Ceramic, 50% 40" x 100') GEOSHIELD</t>
  </si>
  <si>
    <t>(C2 Ceramic, 75% 40" x 100') GEOSHIELD</t>
  </si>
  <si>
    <t>(APEX ULTRA, 05% 24" x 100') GEOSHIELD</t>
  </si>
  <si>
    <t>(APEX ULTRA, 05% 36" x 100') GEOSHIELD</t>
  </si>
  <si>
    <t>(APEX ULTRA, 05% 40" x 100') GEOSHIELD</t>
  </si>
  <si>
    <t>(APEX ULTRA, 05% 60" x 100') GEOSHIELD</t>
  </si>
  <si>
    <t>(APEX ULTRA, 15% 24" x 100') GEOSHIELD</t>
  </si>
  <si>
    <t>(APEX ULTRA, 15% 36" x 100') GEOSHIELD</t>
  </si>
  <si>
    <t>(APEX ULTRA, 15% 40" x 100') GEOSHIELD</t>
  </si>
  <si>
    <t>(APEX ULTRA, 15% 60" x 100') GEOSHIELD</t>
  </si>
  <si>
    <t>(APEX ULTRA, 20% 24" x 100') GEOSHIELD</t>
  </si>
  <si>
    <t>(APEX ULTRA, 20% 36" x 100') GEOSHIELD</t>
  </si>
  <si>
    <t>(APEX ULTRA, 20% 40" x 100') GEOSHIELD</t>
  </si>
  <si>
    <t>(APEX ULTRA, 20% 60" x 100') GEOSHIELD</t>
  </si>
  <si>
    <t>(APEX ULTRA, 30% 24" x 100') GEOSHIELD</t>
  </si>
  <si>
    <t>(APEX ULTRA, 30% 36" x 100') GEOSHIELD</t>
  </si>
  <si>
    <t>(APEX ULTRA, 30% 40" x 100') GEOSHIELD</t>
  </si>
  <si>
    <t>(APEX ULTRA, 30% 60" x 100') GEOSHIELD</t>
  </si>
  <si>
    <t>(APEX ULTRA, 35% 24" x 100') GEOSHIELD</t>
  </si>
  <si>
    <t>(APEX ULTRA, 35% 36" x 100') GEOSHIELD</t>
  </si>
  <si>
    <t>(APEX ULTRA, 35% 40" x 100') GEOSHIELD</t>
  </si>
  <si>
    <t>(APEX ULTRA, 35% 60" x 100') GEOSHIELD</t>
  </si>
  <si>
    <t>(APEX ULTRA, 40% 24" x 100') GEOSHIELD</t>
  </si>
  <si>
    <t>(APEX ULTRA, 40% 36" x 100') GEOSHIELD</t>
  </si>
  <si>
    <t>(APEX ULTRA, 40% 40" x 100') GEOSHIELD</t>
  </si>
  <si>
    <t>(APEX ULTRA, 40% 60" x 100') GEOSHIELD</t>
  </si>
  <si>
    <t>(APEX ULTRA, 50% 24" x 100') GEOSHIELD</t>
  </si>
  <si>
    <t>(APEX ULTRA, 50% 36" x 100') GEOSHIELD</t>
  </si>
  <si>
    <t>(APEX ULTRA, 50% 40" x 100') GEOSHIELD</t>
  </si>
  <si>
    <t>(APEX ULTRA, 50% 60" x 100') GEOSHIELD</t>
  </si>
  <si>
    <t>(APEX ULTRA, 70% 24" x 100') GEOSHIELD</t>
  </si>
  <si>
    <t>(APEX ULTRA, 70% 36" x 100') GEOSHIELD</t>
  </si>
  <si>
    <t>(APEX ULTRA, 70% 40" x 100') GEOSHIELD</t>
  </si>
  <si>
    <t>(APEX ULTRA, 70% 60" x 100') GEOSHIELD</t>
  </si>
  <si>
    <t>(Carbon IR, 02% 40" x 100') HITEK</t>
  </si>
  <si>
    <t>(Carbon IR, 05% 40" x 100') HITEK</t>
  </si>
  <si>
    <t>(Carbon IR, 15% 40" x 100') HITEK</t>
  </si>
  <si>
    <t>(Carbon IR, 20% 40" x 100') HITEK</t>
  </si>
  <si>
    <t>(Carbon IR, 30% 40" x 100') HITEK</t>
  </si>
  <si>
    <t>(Carbon IR, 35% 40" x 100') HITEK</t>
  </si>
  <si>
    <t>(Carbon IR, 40% 40" x 100') HITEK</t>
  </si>
  <si>
    <t>(Carbon IR, 50% 40" x 100') HITEK</t>
  </si>
  <si>
    <t>(Ceramic IR, 02% 40" x 100') HITEK</t>
  </si>
  <si>
    <t>(Ceramic IR, 05% 40" x 100') HITEK</t>
  </si>
  <si>
    <t>(Ceramic IR, 15% 40" x 100') HITEK</t>
  </si>
  <si>
    <t>(Ceramic IR, 20% 40" x 100') HITEK</t>
  </si>
  <si>
    <t>(Ceramic IR, 30% 40" x 100') HITEK</t>
  </si>
  <si>
    <t>(Ceramic IR, 35% 40" x 100') HITEK</t>
  </si>
  <si>
    <t>(Ceramic IR, 40% 40" x 100') HITEK</t>
  </si>
  <si>
    <t>(Ceramic IR, 50% 40" x 100') HITEK</t>
  </si>
  <si>
    <t>(Ceramic IR, 70% 40" x 100') HITEK</t>
  </si>
  <si>
    <t>(Ceramic Plus, 05% 24" x 100') HITEK</t>
  </si>
  <si>
    <t>(Ceramic Plus, 05% 36" x 100') HITEK</t>
  </si>
  <si>
    <t>(Ceramic Plus, 05% 40" x 100') HITEK</t>
  </si>
  <si>
    <t>(Ceramic Plus, 05% 60" x 100') HITEK</t>
  </si>
  <si>
    <t>(Ceramic Plus, 15% 24" x 100') HITEK</t>
  </si>
  <si>
    <t>(Ceramic Plus, 15% 36" x 100') HITEK</t>
  </si>
  <si>
    <t>(Ceramic Plus, 15% 40" x 100') HITEK</t>
  </si>
  <si>
    <t>(Ceramic Plus, 15% 60" x 100') HITEK</t>
  </si>
  <si>
    <t>(Ceramic Plus, 20% 24" x 100') HITEK</t>
  </si>
  <si>
    <t>(Ceramic Plus, 20% 36" x 100') HITEK</t>
  </si>
  <si>
    <t>(Ceramic Plus, 20% 40" x 100') HITEK</t>
  </si>
  <si>
    <t>(Ceramic Plus, 20% 60" x 100') HITEK</t>
  </si>
  <si>
    <t>(Ceramic Plus, 30% 24" x 100') HITEK</t>
  </si>
  <si>
    <t>(Ceramic Plus, 30% 36" x 100') HITEK</t>
  </si>
  <si>
    <t>(Ceramic Plus, 30% 40" x 100') HITEK</t>
  </si>
  <si>
    <t>(Ceramic Plus, 30% 60" x 100') HITEK</t>
  </si>
  <si>
    <t>(Ceramic Plus, 35% 24" x 100') HITEK</t>
  </si>
  <si>
    <t>(Ceramic Plus, 35% 36" x 100') HITEK</t>
  </si>
  <si>
    <t>(Ceramic Plus, 35% 40" x 100') HITEK</t>
  </si>
  <si>
    <t>(Ceramic Plus, 35% 60" x 100') HITEK</t>
  </si>
  <si>
    <t>(Ceramic Plus, 40% 24" x 100') HITEK</t>
  </si>
  <si>
    <t>(Ceramic Plus, 40% 36" x 100') HITEK</t>
  </si>
  <si>
    <t>(Ceramic Plus, 40% 40" x 100') HITEK</t>
  </si>
  <si>
    <t>(Ceramic Plus, 40% 60" x 100') HITEK</t>
  </si>
  <si>
    <t>(Ceramic Plus, 50% 24" x 100') HITEK</t>
  </si>
  <si>
    <t>(Ceramic Plus, 50% 36" x 100') HITEK</t>
  </si>
  <si>
    <t>(Ceramic Plus, 50% 40" x 100') HITEK</t>
  </si>
  <si>
    <t>(Ceramic Plus, 50% 60" x 100') HITEK</t>
  </si>
  <si>
    <t>(Ceramic Plus, 70% 24" x 100') HITEK</t>
  </si>
  <si>
    <t>(Ceramic Plus, 70% 36" x 100') HITEK</t>
  </si>
  <si>
    <t>(Ceramic Plus, 70% 40" x 100') HITEK</t>
  </si>
  <si>
    <t>(Ceramic Plus, 70% 60" x 100') HITEK</t>
  </si>
  <si>
    <t>SolarFX</t>
  </si>
  <si>
    <t>(A6 CARBON SERIES, 05% 60" x 100') SolarFX</t>
  </si>
  <si>
    <t>(A6 CARBON SERIES, 05% 24" x 100') SolarFX</t>
  </si>
  <si>
    <t>(A6 CARBON SERIES, 05% 36" x 100') SolarFX</t>
  </si>
  <si>
    <t>(A6 CARBON SERIES, 05% 40" x 100') SolarFX</t>
  </si>
  <si>
    <t>(A6 CARBON SERIES, 15% 24" x 100') SolarFX</t>
  </si>
  <si>
    <t>(A6 CARBON SERIES, 15% 36" x 100') SolarFX</t>
  </si>
  <si>
    <t>(A6 CARBON SERIES, 15% 40" x 100') SolarFX</t>
  </si>
  <si>
    <t>(A6 CARBON SERIES, 15% 60" x 100') SolarFX</t>
  </si>
  <si>
    <t>(A6 CARBON SERIES, 20% 24" x 100') SolarFX</t>
  </si>
  <si>
    <t>(A6 CARBON SERIES, 20% 36" x 100') SolarFX</t>
  </si>
  <si>
    <t>(A6 CARBON SERIES, 20% 40" x 100') SolarFX</t>
  </si>
  <si>
    <t>B-EC-ALP+X0540 (Megamax EC-ALP+X, 05% 40" X 50')</t>
  </si>
  <si>
    <t>B-EC-ALP+X0560 (Megamax EC-ALP+X, 05% 60" X 50')</t>
  </si>
  <si>
    <t>B-EC-ALP+X1560 (Megamax EC-ALP+X, 15% 60" X 50')</t>
  </si>
  <si>
    <t>(A6 CARBON SERIES, 20% 60" x 100') SolarFX</t>
  </si>
  <si>
    <t>(A6 CARBON SERIES, 30% 24" x 100') SolarFX</t>
  </si>
  <si>
    <t>(A6 CARBON SERIES, 30% 36" x 100') SolarFX</t>
  </si>
  <si>
    <t>(A6 CARBON SERIES, 30% 40" x 100') SolarFX</t>
  </si>
  <si>
    <t>(A6 CARBON SERIES, 30% 60" x 100') SolarFX</t>
  </si>
  <si>
    <t>(A6 CARBON SERIES, 35% 24" x 100') SolarFX</t>
  </si>
  <si>
    <t>(A6 CARBON SERIES, 35% 36" x 100') SolarFX</t>
  </si>
  <si>
    <t>(A6 CARBON SERIES, 35% 40" x 100') SolarFX</t>
  </si>
  <si>
    <t>(A6 CARBON SERIES, 35% 60" x 100') SolarFX</t>
  </si>
  <si>
    <t>(A6 CARBON SERIES, 40% 24" x 100') SolarFX</t>
  </si>
  <si>
    <t>(A6 CARBON SERIES, 40% 36" x 100') SolarFX</t>
  </si>
  <si>
    <t>(A6 CARBON SERIES, 40% 40" x 100') SolarFX</t>
  </si>
  <si>
    <t>(A6 CARBON SERIES, 40% 60" x 100') SolarFX</t>
  </si>
  <si>
    <t>(A6 CARBON SERIES, 50% 24" x 100') SolarFX</t>
  </si>
  <si>
    <t>(A6 CARBON SERIES, 50% 36" x 100') SolarFX</t>
  </si>
  <si>
    <t>(A6 CARBON SERIES, 50% 40" x 100') SolarFX</t>
  </si>
  <si>
    <t>(A6 CARBON SERIES, 50% 60" x 100') SolarFX</t>
  </si>
  <si>
    <t>(A6-C CERAMIC SERIES, 05% 24" x 100') SolarFX</t>
  </si>
  <si>
    <t>(A6-C CERAMIC SERIES, 05% 36" x 100') SolarFX</t>
  </si>
  <si>
    <t>(A6-C CERAMIC SERIES, 05% 40" x 100') SolarFX</t>
  </si>
  <si>
    <t>(A6-C CERAMIC SERIES, 05% 60" x 100') SolarFX</t>
  </si>
  <si>
    <t>(A6-C CERAMIC SERIES, 15% 24" x 100') SolarFX</t>
  </si>
  <si>
    <t>(A6-C CERAMIC SERIES, 15% 36" x 100') SolarFX</t>
  </si>
  <si>
    <t>(A6-C CERAMIC SERIES, 15% 40" x 100') SolarFX</t>
  </si>
  <si>
    <t>(A6-C CERAMIC SERIES, 15% 60" x 100') SolarFX</t>
  </si>
  <si>
    <t>(A6-C CERAMIC SERIES, 20% 24" x 100') SolarFX</t>
  </si>
  <si>
    <t>(A6-C CERAMIC SERIES, 20% 36" x 100') SolarFX</t>
  </si>
  <si>
    <t>(A6-C CERAMIC SERIES, 20% 40" x 100') SolarFX</t>
  </si>
  <si>
    <t>(A6-C CERAMIC SERIES, 20% 60" x 100') SolarFX</t>
  </si>
  <si>
    <t>(A6-C CERAMIC SERIES, 30% 24" x 100') SolarFX</t>
  </si>
  <si>
    <t>(A6-C CERAMIC SERIES, 30% 36" x 100') SolarFX</t>
  </si>
  <si>
    <t>(A6-C CERAMIC SERIES, 30% 40" x 100') SolarFX</t>
  </si>
  <si>
    <t>(A6-C CERAMIC SERIES, 30% 60" x 100') SolarFX</t>
  </si>
  <si>
    <t>(A6-C CERAMIC SERIES, 35% 24" x 100') SolarFX</t>
  </si>
  <si>
    <t>(A6-C CERAMIC SERIES, 35% 36" x 100') SolarFX</t>
  </si>
  <si>
    <t>(A6-C CERAMIC SERIES, 35% 40" x 100') SolarFX</t>
  </si>
  <si>
    <t>(A6-C CERAMIC SERIES, 35% 60" x 100') SolarFX</t>
  </si>
  <si>
    <t>(A6-C CERAMIC SERIES, 40% 24" x 100') SolarFX</t>
  </si>
  <si>
    <t>(A6-C CERAMIC SERIES, 40% 36" x 100') SolarFX</t>
  </si>
  <si>
    <t>(A6-C CERAMIC SERIES, 40% 40" x 100') SolarFX</t>
  </si>
  <si>
    <t>(A6-C CERAMIC SERIES, 40% 60" x 100') SolarFX</t>
  </si>
  <si>
    <t>(A6-C CERAMIC SERIES, 50% 24" x 100') SolarFX</t>
  </si>
  <si>
    <t>(A6-C CERAMIC SERIES, 50% 36" x 100') SolarFX</t>
  </si>
  <si>
    <t>(A6-C CERAMIC SERIES, 50% 40" x 100') SolarFX</t>
  </si>
  <si>
    <t>(A6-C CERAMIC SERIES, 50% 60" x 100') SolarFX</t>
  </si>
  <si>
    <t>(A6-C CERAMIC SERIES, 70% 24" x 100') SolarFX</t>
  </si>
  <si>
    <t>(A6-C CERAMIC SERIES, 70% 36" x 100') SolarFX</t>
  </si>
  <si>
    <t>(A6-C CERAMIC SERIES, 70% 40" x 100') SolarFX</t>
  </si>
  <si>
    <t>(A6-C CERAMIC SERIES, 70% 60" x 100') SolarFX</t>
  </si>
  <si>
    <t>B-EC-ALP+X2060 (Megamax EC-ALP+X, 20% 60" X 50')</t>
  </si>
  <si>
    <t>B-EC-ALP+X3560 (Megamax EC-ALP+X, 35% 60" X 50')</t>
  </si>
  <si>
    <t>B-EC-ALP+X5060 (Megamax EC-ALP+X, 50% 60" X 50')</t>
  </si>
  <si>
    <t>B-EC-ALP+X7060 (Megamax EC-ALP+X, 70% 60" X 50')</t>
  </si>
  <si>
    <t>B-EC-ALP+X1540 (Megamax EC-ALP+X, 15% 40" X 50')</t>
  </si>
  <si>
    <t>B-EC-ALP+X2040 (Megamax EC-ALP+X, 20% 40" X 50')</t>
  </si>
  <si>
    <t>B-EC-ALP+X3540 (Megamax EC-ALP+X, 35% 40" X 50')</t>
  </si>
  <si>
    <t>B-EC-ALP+X5040 (Megamax EC-ALP+X, 50% 40" X 50')</t>
  </si>
  <si>
    <t>B-EC-ALP+X7040 (Megamax EC-ALP+X, 70% 40" X 50')</t>
  </si>
  <si>
    <t>B-PPF-PGCC6050 (PPF, Premium Guard Clear Color Cap 60"x50')</t>
  </si>
  <si>
    <t>PPF-GCCC60</t>
  </si>
  <si>
    <t>Ceramic Shield PPF - Gloss Clear Color Cap</t>
  </si>
  <si>
    <t>(PPF, Premium Guard Clear Color Cap 60"x50')</t>
  </si>
  <si>
    <t>Filmstar</t>
  </si>
  <si>
    <t>(iCool Carbon, 30% 40" x 100')</t>
  </si>
  <si>
    <t>(iCool Carbon, 30% 60" x 100')</t>
  </si>
  <si>
    <t>(iCool Ceramic Premium IR, 30% 40" x 100')</t>
  </si>
  <si>
    <t>(iCool Ceramic Premium IR, 30% 60" x 100')</t>
  </si>
  <si>
    <t>B-EC-CBX0224 (Puremax EC-CBX, 02% 24" x 100')</t>
  </si>
  <si>
    <t>EC-CBX0224</t>
  </si>
  <si>
    <t>B-EC-CBX0236 (Puremax EC-CBX, 02% 36" x 100')</t>
  </si>
  <si>
    <t>EC-CBX0236</t>
  </si>
  <si>
    <t>B-EC-CBX0240 (Puremax EC-CBX, 02% 40" x 100')</t>
  </si>
  <si>
    <t>EC-CBX0240</t>
  </si>
  <si>
    <t>B-EC-CBX0260 (Puremax EC-CBX, 02% 60" x 100')</t>
  </si>
  <si>
    <t>EC-CBX0260</t>
  </si>
  <si>
    <t>B-EC-CBX0260 (Puremax EC-CBX, 02% 60" x 50')</t>
  </si>
  <si>
    <t>Puremax 2</t>
  </si>
  <si>
    <t>B-EC-CBX3024 (Puremax EC-CBX, 30% 24" x 100')</t>
  </si>
  <si>
    <t>EC-CBX3024</t>
  </si>
  <si>
    <t>Puremax 30</t>
  </si>
  <si>
    <t>B-EC-CBX3036 (Puremax EC-CBX, 30% 36" x 100')</t>
  </si>
  <si>
    <t>EC-CBX3036</t>
  </si>
  <si>
    <t>B-EC-CBX3040 (Puremax EC-CBX, 30% 40" x 100 ')</t>
  </si>
  <si>
    <t>EC-CBX3040</t>
  </si>
  <si>
    <t>B-EC-CBX3060 (Puremax EC-CBX, 30% 60" x 100')</t>
  </si>
  <si>
    <t>EC-CBX3060</t>
  </si>
  <si>
    <t>B-EC-CBX3060 (Puremax EC-CBX, 30% 60" x 50')</t>
  </si>
  <si>
    <t>Megamax, Ultimate Ceramic 5% 40" x 100'</t>
  </si>
  <si>
    <t>Megamax, Ultimate Ceramic 5% 40" x 50'</t>
  </si>
  <si>
    <t>Megamax, Ultimate Ceramic 5% 60" x 50'</t>
  </si>
  <si>
    <t>Megamax, Ultimate Ceramic 15% 40" x 100'</t>
  </si>
  <si>
    <t>Megamax, Ultimate Ceramic 15% 40" x 50'</t>
  </si>
  <si>
    <t>Megamax, Ultimate Ceramic 15% 60" x 50'</t>
  </si>
  <si>
    <t>Megamax, Ultimate Ceramic 20% 40" x 100'</t>
  </si>
  <si>
    <t>Megamax, Ultimate Ceramic 20% 40" x 50'</t>
  </si>
  <si>
    <t>Megamax, Ultimate Ceramic 20% 60" x 50'</t>
  </si>
  <si>
    <t>Megamax, Ultimate Ceramic 35% 40" x 100'</t>
  </si>
  <si>
    <t>Megamax, Ultimate Ceramic 35% 40" x 50'</t>
  </si>
  <si>
    <t>Megamax, Ultimate Ceramic 35% 60" x 50'</t>
  </si>
  <si>
    <t>Megamax, Ultimate Ceramic 50% 40" x 100'</t>
  </si>
  <si>
    <t>Megamax, Ultimate Ceramic 50% 40" x 50'</t>
  </si>
  <si>
    <t>Megamax, Ultimate Ceramic 50% 60" x 50'</t>
  </si>
  <si>
    <t>Megamax, Ultimate Ceramic 70% 40" x 100'</t>
  </si>
  <si>
    <t>Megamax, Ultimate Ceramic 70% 40" x 50'</t>
  </si>
  <si>
    <t>Megamax, Ultimate Ceramic 70% 60" x 50'</t>
  </si>
  <si>
    <t>Puremax, Supreme Carbon 02% 24" x 100'</t>
  </si>
  <si>
    <t>Puremax, Supreme Carbon 02% 36" x 100'</t>
  </si>
  <si>
    <t>Puremax, Supreme Carbon 02% 40" x 100'</t>
  </si>
  <si>
    <t>Puremax, Supreme Carbon 02% 60" x 100'</t>
  </si>
  <si>
    <t>Puremax, Supreme Carbon 02% 60" x 50'</t>
  </si>
  <si>
    <t>Puremax, Supreme Carbon 5% 24" x 100'</t>
  </si>
  <si>
    <t>Puremax, Supreme Carbon 5% 36" x 100'</t>
  </si>
  <si>
    <t>Puremax, Supreme Carbon 5% 40" x 100'</t>
  </si>
  <si>
    <t>Puremax, Supreme Carbon 5% 60" x 100'</t>
  </si>
  <si>
    <t>Puremax, Supreme Carbon 15% 24" x 100'</t>
  </si>
  <si>
    <t>Puremax, Supreme Carbon 15% 36" x 100'</t>
  </si>
  <si>
    <t>Puremax, Supreme Carbon 15% 40" x 100'</t>
  </si>
  <si>
    <t>Puremax, Supreme Carbon 15% 60" x 100'</t>
  </si>
  <si>
    <t>Puremax, Supreme Carbon 20% 24" x 100'</t>
  </si>
  <si>
    <t>Puremax, Supreme Carbon 20% 36" x 100'</t>
  </si>
  <si>
    <t>Puremax, Supreme Carbon 20% 40" x 100'</t>
  </si>
  <si>
    <t>Puremax, Supreme Carbon 20% 60" x 100'</t>
  </si>
  <si>
    <t>Puremax, Supreme Carbon 25% 24" x 100'</t>
  </si>
  <si>
    <t>Puremax, Supreme Carbon 25% 36" x 100'</t>
  </si>
  <si>
    <t>Puremax, Supreme Carbon 25% 40" x 100'</t>
  </si>
  <si>
    <t>Puremax, Supreme Carbon 25% 60" x 100'</t>
  </si>
  <si>
    <t>Puremax, Supreme Carbon 30% 24" x 100'</t>
  </si>
  <si>
    <t>Puremax, Supreme Carbon 30% 36" x 100'</t>
  </si>
  <si>
    <t>Puremax, Supreme Carbon 30% 40" x 100'</t>
  </si>
  <si>
    <t>Puremax, Supreme Carbon 30% 60" x 100'</t>
  </si>
  <si>
    <t>Puremax, Supreme Carbon 35% 24" x 100'</t>
  </si>
  <si>
    <t>Puremax, Supreme Carbon 35% 36" x 100'</t>
  </si>
  <si>
    <t>Puremax, Supreme Carbon 35% 40" x 100'</t>
  </si>
  <si>
    <t>Puremax, Supreme Carbon 35% 60" x 100'</t>
  </si>
  <si>
    <t>Puremax, Supreme Carbon 40% 24" x 100'</t>
  </si>
  <si>
    <t>Puremax, Supreme Carbon 40% 36" x 100'</t>
  </si>
  <si>
    <t>Puremax, Supreme Carbon 40% 40" x 100'</t>
  </si>
  <si>
    <t>Puremax, Supreme Carbon 40% 60" x 100'</t>
  </si>
  <si>
    <t>Puremax, Supreme Carbon 50% 24" x 100'</t>
  </si>
  <si>
    <t>Puremax, Supreme Carbon 50% 36" x 100'</t>
  </si>
  <si>
    <t>Puremax, Supreme Carbon 50% 40" x 100'</t>
  </si>
  <si>
    <t>Puremax, Supreme Carbon 50% 60" x 100'</t>
  </si>
  <si>
    <t>Koolmax, Supreme Ceramic 5% 24" x 100'</t>
  </si>
  <si>
    <t>Koolmax, Supreme Ceramic 5% 36" x 100'</t>
  </si>
  <si>
    <t>Koolmax, Supreme Ceramic 5% 40" x 100'</t>
  </si>
  <si>
    <t>Koolmax, Supreme Ceramic 5% 60" x 100'</t>
  </si>
  <si>
    <t>Koolmax, Supreme Ceramic 15% 24" x 100'</t>
  </si>
  <si>
    <t>Koolmax, Supreme Ceramic 15% 36" x 100'</t>
  </si>
  <si>
    <t>Koolmax, Supreme Ceramic 15% 40" x 100'</t>
  </si>
  <si>
    <t>Koolmax, Supreme Ceramic 15% 60" x 100'</t>
  </si>
  <si>
    <t>Koolmax, Supreme Ceramic 20% 24" x 100'</t>
  </si>
  <si>
    <t>Koolmax, Supreme Ceramic 20% 36" x 100'</t>
  </si>
  <si>
    <t>Koolmax, Supreme Ceramic 20% 40" x 100'</t>
  </si>
  <si>
    <t>Koolmax, Supreme Ceramic 20% 60" x 100'</t>
  </si>
  <si>
    <t>Koolmax, Supreme Ceramic 35% 24" x 100'</t>
  </si>
  <si>
    <t>Koolmax, Supreme Ceramic 35% 36" x 100'</t>
  </si>
  <si>
    <t>Koolmax, Supreme Ceramic 35% 40" x 100'</t>
  </si>
  <si>
    <t>Koolmax, Supreme Ceramic 35% 60" x 100'</t>
  </si>
  <si>
    <t>Koolmax, Supreme Ceramic 40% 24" x 100'</t>
  </si>
  <si>
    <t>Koolmax, Supreme Ceramic 40% 36" x 100'</t>
  </si>
  <si>
    <t>Koolmax, Supreme Ceramic 40% 40" x 100'</t>
  </si>
  <si>
    <t>Koolmax, Supreme Ceramic 40% 60" x 100'</t>
  </si>
  <si>
    <t>Koolmax, Supreme Ceramic 50% 24" x 100'</t>
  </si>
  <si>
    <t>Koolmax, Supreme Ceramic 50% 36" x 100'</t>
  </si>
  <si>
    <t>Koolmax, Supreme Ceramic 50% 40" x 100'</t>
  </si>
  <si>
    <t>Koolmax, Supreme Ceramic 50% 60" x 100'</t>
  </si>
  <si>
    <t>Koolmax, Supreme Ceramic 70% 24" x 100'</t>
  </si>
  <si>
    <t>Koolmax, Supreme Ceramic 70% 36" x 100'</t>
  </si>
  <si>
    <t>Koolmax, Supreme Ceramic 70% 40" x 100'</t>
  </si>
  <si>
    <t>Koolmax, Supreme Ceramic 70% 60" x 100'</t>
  </si>
  <si>
    <t>Puremax, Supreme Carbon 5% 60" x 50'</t>
  </si>
  <si>
    <t>Puremax, Supreme Carbon 15% 60" x 50'</t>
  </si>
  <si>
    <t>Puremax, Supreme Carbon 20% 60" x 50'</t>
  </si>
  <si>
    <t>Puremax, Supreme Carbon 25% 60" x 50'</t>
  </si>
  <si>
    <t>Puremax, Supreme Carbon 30% 60" x 50'</t>
  </si>
  <si>
    <t>Puremax, Supreme Carbon 35% 60" x 50'</t>
  </si>
  <si>
    <t>Puremax, Supreme Carbon 40% 60" x 50'</t>
  </si>
  <si>
    <t>Puremax, Supreme Carbon 50% 60" x 50'</t>
  </si>
  <si>
    <t>Koolmax, Supreme Ceramic 5% 60" x 50'</t>
  </si>
  <si>
    <t>Koolmax, Supreme Ceramic 15% 60" x 50'</t>
  </si>
  <si>
    <t>Koolmax, Supreme Ceramic 20% 60" x 50'</t>
  </si>
  <si>
    <t>Koolmax, Supreme Ceramic 35% 60" x 50'</t>
  </si>
  <si>
    <t>Koolmax, Supreme Ceramic 40% 60" x 50'</t>
  </si>
  <si>
    <t>Koolmax, Supreme Ceramic 50% 60" x 50'</t>
  </si>
  <si>
    <t>Koolmax, Supreme Ceramic 70% 60" x 50'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</si>
</sst>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49" fontId="3" fillId="0" borderId="1" xfId="0" applyNumberFormat="1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3" fillId="0" borderId="0" xfId="0" applyNumberFormat="1" applyFont="1" applyAlignment="1">
      <alignment horizontal="left"/>
    </xf>
    <xf numFmtId="49" fontId="6" fillId="2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3" fillId="0" borderId="0" xfId="0" applyNumberFormat="1" applyFont="1" applyBorder="1"/>
    <xf numFmtId="49" fontId="6" fillId="6" borderId="0" xfId="0" applyNumberFormat="1" applyFont="1" applyFill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7" fillId="0" borderId="0" xfId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</cellXfs>
  <cellStyles count="3">
    <cellStyle name="Comma [0]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0"/>
  <sheetViews>
    <sheetView tabSelected="1" zoomScale="85" zoomScaleNormal="85" workbookViewId="0">
      <pane xSplit="6" ySplit="2" topLeftCell="G231" activePane="bottomRight" state="frozen"/>
      <selection pane="topRight" activeCell="G1" sqref="G1"/>
      <selection pane="bottomLeft" activeCell="A3" sqref="A3"/>
      <selection pane="bottomRight" activeCell="I258" sqref="I258"/>
    </sheetView>
  </sheetViews>
  <sheetFormatPr defaultRowHeight="15"/>
  <cols>
    <col min="1" max="1" width="56" bestFit="1" customWidth="1"/>
    <col min="2" max="2" width="15.5703125" style="8" bestFit="1" customWidth="1"/>
    <col min="3" max="3" width="17.85546875" style="8" bestFit="1" customWidth="1"/>
    <col min="4" max="4" width="8" style="3" customWidth="1"/>
    <col min="5" max="5" width="15.5703125" style="3" bestFit="1" customWidth="1"/>
    <col min="6" max="6" width="15.5703125" style="3" customWidth="1"/>
    <col min="7" max="8" width="12.5703125" style="3" customWidth="1"/>
    <col min="9" max="9" width="8.85546875" style="3" customWidth="1"/>
    <col min="10" max="10" width="35.5703125" customWidth="1"/>
    <col min="11" max="11" width="9.140625" style="3" customWidth="1"/>
    <col min="12" max="12" width="48" bestFit="1" customWidth="1"/>
    <col min="13" max="13" width="7" style="3" customWidth="1"/>
    <col min="14" max="14" width="40.42578125" style="3" customWidth="1"/>
    <col min="15" max="15" width="6.140625" style="3" bestFit="1" customWidth="1"/>
    <col min="16" max="16" width="38.7109375" customWidth="1"/>
    <col min="17" max="17" width="7" customWidth="1"/>
    <col min="18" max="18" width="38.7109375" customWidth="1"/>
    <col min="20" max="20" width="38.7109375" customWidth="1"/>
  </cols>
  <sheetData>
    <row r="1" spans="1:21">
      <c r="A1" s="28" t="s">
        <v>55</v>
      </c>
      <c r="B1" s="29" t="s">
        <v>13</v>
      </c>
      <c r="C1" s="23" t="s">
        <v>14</v>
      </c>
      <c r="D1" s="23" t="s">
        <v>3</v>
      </c>
      <c r="E1" s="23" t="s">
        <v>0</v>
      </c>
      <c r="F1" s="23" t="s">
        <v>346</v>
      </c>
      <c r="G1" s="23" t="s">
        <v>5</v>
      </c>
      <c r="H1" s="23" t="s">
        <v>6</v>
      </c>
      <c r="I1" s="24" t="s">
        <v>4</v>
      </c>
      <c r="J1" s="25" t="s">
        <v>334</v>
      </c>
      <c r="K1" s="25"/>
      <c r="L1" s="26" t="s">
        <v>335</v>
      </c>
      <c r="M1" s="26"/>
      <c r="N1" s="27" t="s">
        <v>779</v>
      </c>
      <c r="O1" s="27"/>
      <c r="P1" s="21" t="s">
        <v>336</v>
      </c>
      <c r="Q1" s="21"/>
      <c r="R1" s="22" t="s">
        <v>570</v>
      </c>
      <c r="S1" s="22"/>
      <c r="T1" s="20" t="s">
        <v>856</v>
      </c>
      <c r="U1" s="20"/>
    </row>
    <row r="2" spans="1:21">
      <c r="A2" s="28"/>
      <c r="B2" s="29"/>
      <c r="C2" s="23"/>
      <c r="D2" s="23"/>
      <c r="E2" s="23"/>
      <c r="F2" s="23"/>
      <c r="G2" s="23"/>
      <c r="H2" s="23"/>
      <c r="I2" s="24"/>
      <c r="J2" s="10" t="s">
        <v>337</v>
      </c>
      <c r="K2" s="10" t="s">
        <v>338</v>
      </c>
      <c r="L2" s="11" t="s">
        <v>337</v>
      </c>
      <c r="M2" s="11" t="s">
        <v>338</v>
      </c>
      <c r="N2" s="15" t="s">
        <v>337</v>
      </c>
      <c r="O2" s="15" t="s">
        <v>338</v>
      </c>
      <c r="P2" s="12" t="s">
        <v>337</v>
      </c>
      <c r="Q2" s="12" t="s">
        <v>338</v>
      </c>
      <c r="R2" s="13" t="s">
        <v>337</v>
      </c>
      <c r="S2" s="13" t="s">
        <v>338</v>
      </c>
      <c r="T2" s="19" t="s">
        <v>337</v>
      </c>
      <c r="U2" s="19" t="s">
        <v>338</v>
      </c>
    </row>
    <row r="3" spans="1:21">
      <c r="A3" s="1" t="s">
        <v>359</v>
      </c>
      <c r="B3" s="9" t="s">
        <v>44</v>
      </c>
      <c r="C3" s="7" t="s">
        <v>45</v>
      </c>
      <c r="D3" s="4" t="s">
        <v>1</v>
      </c>
      <c r="E3" s="3">
        <v>24</v>
      </c>
      <c r="G3" s="3">
        <v>100</v>
      </c>
      <c r="H3" s="3">
        <v>1.5</v>
      </c>
      <c r="I3" s="3">
        <v>63</v>
      </c>
      <c r="J3" s="5" t="s">
        <v>56</v>
      </c>
      <c r="K3" s="3">
        <v>104.33</v>
      </c>
      <c r="L3" s="5" t="s">
        <v>80</v>
      </c>
      <c r="M3" s="3">
        <v>99.7</v>
      </c>
    </row>
    <row r="4" spans="1:21">
      <c r="A4" s="1" t="s">
        <v>360</v>
      </c>
      <c r="B4" s="9" t="s">
        <v>46</v>
      </c>
      <c r="C4" s="7" t="s">
        <v>45</v>
      </c>
      <c r="D4" s="4" t="s">
        <v>1</v>
      </c>
      <c r="E4" s="3">
        <v>36</v>
      </c>
      <c r="G4" s="3">
        <v>100</v>
      </c>
      <c r="H4" s="3">
        <v>1.5</v>
      </c>
      <c r="I4" s="3">
        <v>87</v>
      </c>
      <c r="J4" s="5" t="s">
        <v>57</v>
      </c>
      <c r="K4" s="3">
        <v>142.85</v>
      </c>
      <c r="L4" s="5" t="s">
        <v>81</v>
      </c>
      <c r="M4" s="3">
        <v>142.43</v>
      </c>
    </row>
    <row r="5" spans="1:21">
      <c r="A5" s="1" t="s">
        <v>361</v>
      </c>
      <c r="B5" s="9" t="s">
        <v>47</v>
      </c>
      <c r="C5" s="7" t="s">
        <v>45</v>
      </c>
      <c r="D5" s="4" t="s">
        <v>1</v>
      </c>
      <c r="E5" s="3">
        <v>40</v>
      </c>
      <c r="G5" s="3">
        <v>100</v>
      </c>
      <c r="H5" s="3">
        <v>1.5</v>
      </c>
      <c r="I5" s="3">
        <v>87</v>
      </c>
      <c r="J5" s="5" t="s">
        <v>682</v>
      </c>
      <c r="K5" s="3">
        <v>142.85</v>
      </c>
      <c r="L5" s="5" t="s">
        <v>730</v>
      </c>
      <c r="M5" s="3">
        <v>142.43</v>
      </c>
    </row>
    <row r="6" spans="1:21">
      <c r="A6" s="1" t="s">
        <v>362</v>
      </c>
      <c r="B6" s="9" t="s">
        <v>48</v>
      </c>
      <c r="C6" s="7" t="s">
        <v>45</v>
      </c>
      <c r="D6" s="4" t="s">
        <v>1</v>
      </c>
      <c r="E6" s="3">
        <v>60</v>
      </c>
      <c r="G6" s="3">
        <v>100</v>
      </c>
      <c r="H6" s="3">
        <v>1.5</v>
      </c>
      <c r="I6" s="3">
        <v>118</v>
      </c>
      <c r="J6" s="5" t="s">
        <v>58</v>
      </c>
      <c r="K6" s="3">
        <v>198.65</v>
      </c>
      <c r="P6" s="2"/>
    </row>
    <row r="7" spans="1:21">
      <c r="A7" s="1" t="s">
        <v>362</v>
      </c>
      <c r="B7" s="9" t="s">
        <v>48</v>
      </c>
      <c r="C7" s="7" t="s">
        <v>45</v>
      </c>
      <c r="D7" s="4" t="s">
        <v>1</v>
      </c>
      <c r="E7" s="3">
        <v>60</v>
      </c>
      <c r="G7" s="3">
        <v>100</v>
      </c>
      <c r="H7" s="3">
        <v>1.5</v>
      </c>
      <c r="I7" s="3">
        <v>122</v>
      </c>
      <c r="J7" s="5"/>
      <c r="L7" s="5" t="s">
        <v>82</v>
      </c>
      <c r="M7" s="3">
        <v>199.39</v>
      </c>
      <c r="P7" s="2"/>
    </row>
    <row r="8" spans="1:21">
      <c r="A8" s="1" t="s">
        <v>362</v>
      </c>
      <c r="B8" s="9" t="s">
        <v>48</v>
      </c>
      <c r="C8" s="7" t="s">
        <v>45</v>
      </c>
      <c r="D8" s="4" t="s">
        <v>1</v>
      </c>
      <c r="E8" s="3">
        <v>60</v>
      </c>
      <c r="F8" s="3" t="s">
        <v>339</v>
      </c>
      <c r="G8" s="3">
        <v>100</v>
      </c>
      <c r="H8" s="3">
        <v>1.5</v>
      </c>
      <c r="I8" s="3">
        <v>125</v>
      </c>
      <c r="J8" s="5" t="s">
        <v>58</v>
      </c>
      <c r="K8" s="3">
        <v>208.65</v>
      </c>
      <c r="L8" s="5" t="s">
        <v>82</v>
      </c>
      <c r="M8" s="3">
        <v>199.39</v>
      </c>
      <c r="P8" s="2"/>
    </row>
    <row r="9" spans="1:21">
      <c r="A9" s="1" t="s">
        <v>362</v>
      </c>
      <c r="B9" s="9" t="s">
        <v>48</v>
      </c>
      <c r="C9" s="7" t="s">
        <v>45</v>
      </c>
      <c r="D9" s="4" t="s">
        <v>1</v>
      </c>
      <c r="E9" s="2">
        <v>60</v>
      </c>
      <c r="F9" s="3" t="s">
        <v>340</v>
      </c>
      <c r="G9" s="3">
        <v>100</v>
      </c>
      <c r="H9" s="3">
        <v>1.5</v>
      </c>
      <c r="I9" s="3">
        <v>125</v>
      </c>
      <c r="J9" s="5" t="s">
        <v>58</v>
      </c>
      <c r="K9" s="3">
        <v>208.65</v>
      </c>
      <c r="L9" s="5" t="s">
        <v>82</v>
      </c>
      <c r="M9" s="3">
        <v>199.39</v>
      </c>
      <c r="P9" s="2"/>
    </row>
    <row r="10" spans="1:21">
      <c r="A10" s="1" t="s">
        <v>362</v>
      </c>
      <c r="B10" s="9" t="s">
        <v>48</v>
      </c>
      <c r="C10" s="7" t="s">
        <v>45</v>
      </c>
      <c r="D10" s="4" t="s">
        <v>1</v>
      </c>
      <c r="E10" s="2">
        <v>60</v>
      </c>
      <c r="F10" s="3" t="s">
        <v>341</v>
      </c>
      <c r="G10" s="3">
        <v>100</v>
      </c>
      <c r="H10" s="3">
        <v>1.5</v>
      </c>
      <c r="I10" s="3">
        <v>129</v>
      </c>
      <c r="J10" s="5" t="s">
        <v>58</v>
      </c>
      <c r="K10" s="3">
        <v>218.65</v>
      </c>
      <c r="L10" s="5" t="s">
        <v>82</v>
      </c>
      <c r="M10" s="3">
        <v>209.39</v>
      </c>
      <c r="P10" s="2"/>
    </row>
    <row r="11" spans="1:21">
      <c r="A11" s="1" t="s">
        <v>362</v>
      </c>
      <c r="B11" s="9" t="s">
        <v>48</v>
      </c>
      <c r="C11" s="7" t="s">
        <v>45</v>
      </c>
      <c r="D11" s="4" t="s">
        <v>1</v>
      </c>
      <c r="E11" s="2">
        <v>60</v>
      </c>
      <c r="F11" s="2" t="s">
        <v>342</v>
      </c>
      <c r="G11" s="3">
        <v>100</v>
      </c>
      <c r="H11" s="3">
        <v>1.5</v>
      </c>
      <c r="I11" s="3">
        <v>129</v>
      </c>
      <c r="J11" s="5" t="s">
        <v>58</v>
      </c>
      <c r="K11" s="3">
        <v>218.65</v>
      </c>
      <c r="L11" s="5" t="s">
        <v>82</v>
      </c>
      <c r="M11" s="3">
        <v>209.39</v>
      </c>
      <c r="P11" s="2"/>
    </row>
    <row r="12" spans="1:21">
      <c r="A12" s="1" t="s">
        <v>362</v>
      </c>
      <c r="B12" s="9" t="s">
        <v>48</v>
      </c>
      <c r="C12" s="7" t="s">
        <v>45</v>
      </c>
      <c r="D12" s="4" t="s">
        <v>1</v>
      </c>
      <c r="E12" s="2">
        <v>60</v>
      </c>
      <c r="F12" s="2" t="s">
        <v>343</v>
      </c>
      <c r="G12" s="3">
        <v>100</v>
      </c>
      <c r="H12" s="3">
        <v>1.5</v>
      </c>
      <c r="I12" s="3">
        <v>134</v>
      </c>
      <c r="J12" s="5" t="s">
        <v>58</v>
      </c>
      <c r="K12" s="3">
        <v>228.65</v>
      </c>
      <c r="L12" s="5" t="s">
        <v>82</v>
      </c>
      <c r="M12" s="3">
        <v>219.39</v>
      </c>
      <c r="P12" s="2"/>
    </row>
    <row r="13" spans="1:21">
      <c r="A13" s="1" t="s">
        <v>362</v>
      </c>
      <c r="B13" s="9" t="s">
        <v>48</v>
      </c>
      <c r="C13" s="7" t="s">
        <v>45</v>
      </c>
      <c r="D13" s="4" t="s">
        <v>1</v>
      </c>
      <c r="E13" s="2">
        <v>60</v>
      </c>
      <c r="F13" s="2" t="s">
        <v>344</v>
      </c>
      <c r="G13" s="3">
        <v>100</v>
      </c>
      <c r="H13" s="3">
        <v>1.5</v>
      </c>
      <c r="I13" s="3">
        <v>142</v>
      </c>
      <c r="J13" s="5" t="s">
        <v>58</v>
      </c>
      <c r="K13" s="3">
        <v>238.65</v>
      </c>
      <c r="L13" s="5" t="s">
        <v>82</v>
      </c>
      <c r="M13" s="3">
        <v>229.39</v>
      </c>
      <c r="P13" s="2"/>
    </row>
    <row r="14" spans="1:21">
      <c r="A14" s="1" t="s">
        <v>363</v>
      </c>
      <c r="B14" s="9" t="s">
        <v>15</v>
      </c>
      <c r="C14" s="7" t="s">
        <v>16</v>
      </c>
      <c r="D14" s="4" t="s">
        <v>2</v>
      </c>
      <c r="E14" s="3">
        <v>24</v>
      </c>
      <c r="G14" s="3">
        <v>100</v>
      </c>
      <c r="H14" s="3">
        <v>1.5</v>
      </c>
      <c r="I14" s="2">
        <v>57.5</v>
      </c>
      <c r="J14" s="5" t="s">
        <v>59</v>
      </c>
      <c r="K14" s="2">
        <v>96.3</v>
      </c>
      <c r="L14" s="5" t="s">
        <v>83</v>
      </c>
      <c r="M14" s="3">
        <v>91.15</v>
      </c>
      <c r="N14" s="5" t="s">
        <v>781</v>
      </c>
      <c r="O14" s="3">
        <v>96.25</v>
      </c>
      <c r="P14" s="2"/>
    </row>
    <row r="15" spans="1:21">
      <c r="A15" s="1" t="s">
        <v>364</v>
      </c>
      <c r="B15" s="9" t="s">
        <v>17</v>
      </c>
      <c r="C15" s="7" t="s">
        <v>16</v>
      </c>
      <c r="D15" s="4" t="s">
        <v>2</v>
      </c>
      <c r="E15" s="3">
        <v>36</v>
      </c>
      <c r="G15" s="3">
        <v>100</v>
      </c>
      <c r="H15" s="3">
        <v>1.5</v>
      </c>
      <c r="I15" s="2">
        <v>78</v>
      </c>
      <c r="J15" s="5" t="s">
        <v>60</v>
      </c>
      <c r="K15" s="2">
        <v>132.15</v>
      </c>
      <c r="L15" s="5" t="s">
        <v>84</v>
      </c>
      <c r="M15" s="3">
        <v>131.03</v>
      </c>
      <c r="N15" s="5" t="s">
        <v>782</v>
      </c>
      <c r="O15" s="3">
        <v>130</v>
      </c>
      <c r="P15" s="2"/>
    </row>
    <row r="16" spans="1:21">
      <c r="A16" s="1" t="s">
        <v>365</v>
      </c>
      <c r="B16" s="9" t="s">
        <v>18</v>
      </c>
      <c r="C16" s="7" t="s">
        <v>16</v>
      </c>
      <c r="D16" s="4" t="s">
        <v>2</v>
      </c>
      <c r="E16" s="3">
        <v>40</v>
      </c>
      <c r="G16" s="3">
        <v>100</v>
      </c>
      <c r="H16" s="3">
        <v>1.5</v>
      </c>
      <c r="I16" s="2">
        <v>78</v>
      </c>
      <c r="J16" s="5" t="s">
        <v>683</v>
      </c>
      <c r="K16" s="2">
        <v>132.15</v>
      </c>
      <c r="L16" s="5" t="s">
        <v>731</v>
      </c>
      <c r="M16" s="3">
        <v>131.03</v>
      </c>
      <c r="N16" s="5" t="s">
        <v>783</v>
      </c>
      <c r="O16" s="3">
        <v>130</v>
      </c>
      <c r="P16" s="2"/>
      <c r="R16" s="14" t="s">
        <v>571</v>
      </c>
      <c r="S16">
        <f>I16-3</f>
        <v>75</v>
      </c>
      <c r="T16" t="s">
        <v>571</v>
      </c>
      <c r="U16">
        <v>160</v>
      </c>
    </row>
    <row r="17" spans="1:21">
      <c r="A17" s="1" t="s">
        <v>366</v>
      </c>
      <c r="B17" s="9" t="s">
        <v>19</v>
      </c>
      <c r="C17" s="7" t="s">
        <v>16</v>
      </c>
      <c r="D17" s="4" t="s">
        <v>2</v>
      </c>
      <c r="E17" s="3">
        <v>60</v>
      </c>
      <c r="G17" s="3">
        <v>100</v>
      </c>
      <c r="H17" s="3">
        <v>1.5</v>
      </c>
      <c r="I17" s="2">
        <v>107</v>
      </c>
      <c r="J17" s="5" t="s">
        <v>61</v>
      </c>
      <c r="K17" s="2">
        <v>182.6</v>
      </c>
      <c r="N17"/>
      <c r="P17" s="2"/>
      <c r="R17" s="14" t="s">
        <v>572</v>
      </c>
      <c r="S17">
        <f>I17</f>
        <v>107</v>
      </c>
      <c r="T17" t="s">
        <v>572</v>
      </c>
      <c r="U17">
        <v>225</v>
      </c>
    </row>
    <row r="18" spans="1:21">
      <c r="A18" s="1" t="s">
        <v>366</v>
      </c>
      <c r="B18" s="9" t="s">
        <v>19</v>
      </c>
      <c r="C18" s="7" t="s">
        <v>16</v>
      </c>
      <c r="D18" s="4" t="s">
        <v>2</v>
      </c>
      <c r="E18" s="3">
        <v>60</v>
      </c>
      <c r="G18" s="3">
        <v>100</v>
      </c>
      <c r="H18" s="3">
        <v>1.5</v>
      </c>
      <c r="I18" s="2">
        <v>111</v>
      </c>
      <c r="J18" s="5"/>
      <c r="L18" s="5" t="s">
        <v>85</v>
      </c>
      <c r="M18" s="3">
        <v>182.3</v>
      </c>
      <c r="N18" s="5" t="s">
        <v>780</v>
      </c>
      <c r="O18" s="3">
        <v>192.5</v>
      </c>
      <c r="P18" s="2"/>
    </row>
    <row r="19" spans="1:21">
      <c r="A19" s="1" t="s">
        <v>366</v>
      </c>
      <c r="B19" s="9" t="s">
        <v>19</v>
      </c>
      <c r="C19" s="7" t="s">
        <v>16</v>
      </c>
      <c r="D19" s="4" t="s">
        <v>2</v>
      </c>
      <c r="E19" s="3">
        <v>60</v>
      </c>
      <c r="F19" s="3" t="s">
        <v>339</v>
      </c>
      <c r="G19" s="3">
        <v>100</v>
      </c>
      <c r="H19" s="3">
        <v>1.5</v>
      </c>
      <c r="I19" s="2">
        <v>114</v>
      </c>
      <c r="J19" s="5" t="s">
        <v>61</v>
      </c>
      <c r="K19" s="2">
        <v>192.6</v>
      </c>
      <c r="L19" s="5" t="s">
        <v>85</v>
      </c>
      <c r="M19" s="3">
        <v>182.3</v>
      </c>
      <c r="N19" s="5" t="s">
        <v>780</v>
      </c>
      <c r="O19" s="3">
        <v>192.5</v>
      </c>
      <c r="P19" s="2"/>
    </row>
    <row r="20" spans="1:21">
      <c r="A20" s="1" t="s">
        <v>366</v>
      </c>
      <c r="B20" s="9" t="s">
        <v>19</v>
      </c>
      <c r="C20" s="7" t="s">
        <v>16</v>
      </c>
      <c r="D20" s="4" t="s">
        <v>2</v>
      </c>
      <c r="E20" s="2">
        <v>60</v>
      </c>
      <c r="F20" s="3" t="s">
        <v>340</v>
      </c>
      <c r="G20" s="3">
        <v>100</v>
      </c>
      <c r="H20" s="3">
        <v>1.5</v>
      </c>
      <c r="I20" s="2">
        <v>114</v>
      </c>
      <c r="J20" s="5" t="s">
        <v>61</v>
      </c>
      <c r="K20" s="2">
        <v>192.6</v>
      </c>
      <c r="L20" s="5" t="s">
        <v>85</v>
      </c>
      <c r="M20" s="3">
        <v>182.3</v>
      </c>
      <c r="N20" s="5" t="s">
        <v>780</v>
      </c>
      <c r="O20" s="3">
        <v>192.5</v>
      </c>
      <c r="P20" s="2"/>
    </row>
    <row r="21" spans="1:21">
      <c r="A21" s="1" t="s">
        <v>366</v>
      </c>
      <c r="B21" s="9" t="s">
        <v>19</v>
      </c>
      <c r="C21" s="7" t="s">
        <v>16</v>
      </c>
      <c r="D21" s="4" t="s">
        <v>2</v>
      </c>
      <c r="E21" s="2">
        <v>60</v>
      </c>
      <c r="F21" s="3" t="s">
        <v>341</v>
      </c>
      <c r="G21" s="3">
        <v>100</v>
      </c>
      <c r="H21" s="3">
        <v>1.5</v>
      </c>
      <c r="I21" s="2">
        <v>118</v>
      </c>
      <c r="J21" s="5" t="s">
        <v>61</v>
      </c>
      <c r="K21" s="2">
        <v>202.6</v>
      </c>
      <c r="L21" s="5" t="s">
        <v>85</v>
      </c>
      <c r="M21" s="3">
        <v>192.3</v>
      </c>
      <c r="N21" s="5" t="s">
        <v>780</v>
      </c>
      <c r="O21" s="3">
        <v>202.5</v>
      </c>
      <c r="P21" s="2"/>
    </row>
    <row r="22" spans="1:21">
      <c r="A22" s="1" t="s">
        <v>366</v>
      </c>
      <c r="B22" s="9" t="s">
        <v>19</v>
      </c>
      <c r="C22" s="7" t="s">
        <v>16</v>
      </c>
      <c r="D22" s="4" t="s">
        <v>2</v>
      </c>
      <c r="E22" s="2">
        <v>60</v>
      </c>
      <c r="F22" s="2" t="s">
        <v>342</v>
      </c>
      <c r="G22" s="3">
        <v>100</v>
      </c>
      <c r="H22" s="3">
        <v>1.5</v>
      </c>
      <c r="I22" s="2">
        <v>118</v>
      </c>
      <c r="J22" s="5" t="s">
        <v>61</v>
      </c>
      <c r="K22" s="2">
        <v>202.6</v>
      </c>
      <c r="L22" s="5" t="s">
        <v>85</v>
      </c>
      <c r="M22" s="3">
        <v>192.3</v>
      </c>
      <c r="N22" s="5" t="s">
        <v>780</v>
      </c>
      <c r="O22" s="3">
        <v>202.5</v>
      </c>
      <c r="P22" s="2"/>
    </row>
    <row r="23" spans="1:21">
      <c r="A23" s="1" t="s">
        <v>366</v>
      </c>
      <c r="B23" s="9" t="s">
        <v>19</v>
      </c>
      <c r="C23" s="7" t="s">
        <v>16</v>
      </c>
      <c r="D23" s="4" t="s">
        <v>2</v>
      </c>
      <c r="E23" s="2">
        <v>60</v>
      </c>
      <c r="F23" s="2" t="s">
        <v>343</v>
      </c>
      <c r="G23" s="3">
        <v>100</v>
      </c>
      <c r="H23" s="3">
        <v>1.5</v>
      </c>
      <c r="I23" s="2">
        <v>123</v>
      </c>
      <c r="J23" s="5" t="s">
        <v>61</v>
      </c>
      <c r="K23" s="2">
        <v>212.6</v>
      </c>
      <c r="L23" s="5" t="s">
        <v>85</v>
      </c>
      <c r="M23" s="3">
        <v>202.3</v>
      </c>
      <c r="N23" s="5" t="s">
        <v>780</v>
      </c>
      <c r="O23" s="3">
        <v>212.5</v>
      </c>
      <c r="P23" s="2"/>
    </row>
    <row r="24" spans="1:21">
      <c r="A24" s="1" t="s">
        <v>366</v>
      </c>
      <c r="B24" s="9" t="s">
        <v>19</v>
      </c>
      <c r="C24" s="7" t="s">
        <v>16</v>
      </c>
      <c r="D24" s="4" t="s">
        <v>2</v>
      </c>
      <c r="E24" s="2">
        <v>60</v>
      </c>
      <c r="F24" s="2" t="s">
        <v>344</v>
      </c>
      <c r="G24" s="3">
        <v>100</v>
      </c>
      <c r="H24" s="3">
        <v>1.5</v>
      </c>
      <c r="I24" s="2">
        <v>131</v>
      </c>
      <c r="J24" s="5" t="s">
        <v>61</v>
      </c>
      <c r="K24" s="2">
        <v>222.6</v>
      </c>
      <c r="L24" s="5" t="s">
        <v>85</v>
      </c>
      <c r="M24" s="3">
        <v>212.3</v>
      </c>
      <c r="N24" s="5" t="s">
        <v>780</v>
      </c>
      <c r="O24" s="3">
        <v>222.5</v>
      </c>
      <c r="P24" s="2"/>
    </row>
    <row r="25" spans="1:21">
      <c r="A25" s="1" t="s">
        <v>367</v>
      </c>
      <c r="B25" s="9" t="s">
        <v>20</v>
      </c>
      <c r="C25" s="7" t="s">
        <v>21</v>
      </c>
      <c r="D25" s="4" t="s">
        <v>7</v>
      </c>
      <c r="E25" s="3">
        <v>24</v>
      </c>
      <c r="G25" s="3">
        <v>100</v>
      </c>
      <c r="H25" s="3">
        <v>1.5</v>
      </c>
      <c r="I25" s="18">
        <v>55</v>
      </c>
      <c r="J25" s="5" t="s">
        <v>62</v>
      </c>
      <c r="K25" s="2">
        <v>96.3</v>
      </c>
      <c r="L25" s="5" t="s">
        <v>86</v>
      </c>
      <c r="M25" s="3">
        <v>91.15</v>
      </c>
      <c r="N25" s="5" t="s">
        <v>784</v>
      </c>
      <c r="O25" s="3">
        <v>96.25</v>
      </c>
      <c r="P25" s="2"/>
    </row>
    <row r="26" spans="1:21">
      <c r="A26" s="1" t="s">
        <v>368</v>
      </c>
      <c r="B26" s="9" t="s">
        <v>22</v>
      </c>
      <c r="C26" s="7" t="s">
        <v>21</v>
      </c>
      <c r="D26" s="4" t="s">
        <v>7</v>
      </c>
      <c r="E26" s="3">
        <v>36</v>
      </c>
      <c r="G26" s="3">
        <v>100</v>
      </c>
      <c r="H26" s="3">
        <v>1.5</v>
      </c>
      <c r="I26" s="18">
        <v>78</v>
      </c>
      <c r="J26" s="5" t="s">
        <v>63</v>
      </c>
      <c r="K26" s="2">
        <v>132.15</v>
      </c>
      <c r="L26" s="5" t="s">
        <v>87</v>
      </c>
      <c r="M26" s="3">
        <v>131.03</v>
      </c>
      <c r="N26" s="5" t="s">
        <v>785</v>
      </c>
      <c r="O26" s="3">
        <v>130</v>
      </c>
      <c r="P26" s="2"/>
    </row>
    <row r="27" spans="1:21">
      <c r="A27" s="1" t="s">
        <v>369</v>
      </c>
      <c r="B27" s="9" t="s">
        <v>23</v>
      </c>
      <c r="C27" s="7" t="s">
        <v>21</v>
      </c>
      <c r="D27" s="4" t="s">
        <v>7</v>
      </c>
      <c r="E27" s="3">
        <v>40</v>
      </c>
      <c r="G27" s="3">
        <v>100</v>
      </c>
      <c r="H27" s="3">
        <v>1.5</v>
      </c>
      <c r="I27" s="18">
        <v>78</v>
      </c>
      <c r="J27" s="5" t="s">
        <v>684</v>
      </c>
      <c r="K27" s="2">
        <v>132.15</v>
      </c>
      <c r="L27" s="5" t="s">
        <v>732</v>
      </c>
      <c r="M27" s="3">
        <v>131.03</v>
      </c>
      <c r="N27" s="5" t="s">
        <v>786</v>
      </c>
      <c r="O27" s="3">
        <v>130</v>
      </c>
      <c r="P27" s="2"/>
      <c r="R27" s="14" t="s">
        <v>573</v>
      </c>
      <c r="S27">
        <f>I27-3</f>
        <v>75</v>
      </c>
      <c r="T27" t="s">
        <v>573</v>
      </c>
      <c r="U27">
        <v>160</v>
      </c>
    </row>
    <row r="28" spans="1:21">
      <c r="A28" s="1" t="s">
        <v>370</v>
      </c>
      <c r="B28" s="9" t="s">
        <v>24</v>
      </c>
      <c r="C28" s="7" t="s">
        <v>21</v>
      </c>
      <c r="D28" s="4" t="s">
        <v>7</v>
      </c>
      <c r="E28" s="3">
        <v>60</v>
      </c>
      <c r="G28" s="3">
        <v>100</v>
      </c>
      <c r="H28" s="3">
        <v>1.5</v>
      </c>
      <c r="I28" s="2">
        <v>107</v>
      </c>
      <c r="J28" s="5" t="s">
        <v>64</v>
      </c>
      <c r="K28" s="2">
        <v>182.6</v>
      </c>
      <c r="N28"/>
      <c r="P28" s="2"/>
      <c r="R28" s="14" t="s">
        <v>574</v>
      </c>
      <c r="S28">
        <f>I28</f>
        <v>107</v>
      </c>
      <c r="T28" t="s">
        <v>574</v>
      </c>
      <c r="U28">
        <v>225</v>
      </c>
    </row>
    <row r="29" spans="1:21">
      <c r="A29" s="1" t="s">
        <v>370</v>
      </c>
      <c r="B29" s="9" t="s">
        <v>24</v>
      </c>
      <c r="C29" s="7" t="s">
        <v>21</v>
      </c>
      <c r="D29" s="4" t="s">
        <v>7</v>
      </c>
      <c r="E29" s="3">
        <v>60</v>
      </c>
      <c r="G29" s="3">
        <v>100</v>
      </c>
      <c r="H29" s="3">
        <v>1.5</v>
      </c>
      <c r="I29" s="2">
        <v>111</v>
      </c>
      <c r="J29" s="5"/>
      <c r="L29" s="5" t="s">
        <v>88</v>
      </c>
      <c r="M29" s="3">
        <v>182.3</v>
      </c>
      <c r="N29" s="5" t="s">
        <v>787</v>
      </c>
      <c r="O29" s="3">
        <v>192.5</v>
      </c>
      <c r="P29" s="2"/>
    </row>
    <row r="30" spans="1:21">
      <c r="A30" s="1" t="s">
        <v>370</v>
      </c>
      <c r="B30" s="9" t="s">
        <v>24</v>
      </c>
      <c r="C30" s="7" t="s">
        <v>21</v>
      </c>
      <c r="D30" s="4" t="s">
        <v>7</v>
      </c>
      <c r="E30" s="3">
        <v>60</v>
      </c>
      <c r="F30" s="3" t="s">
        <v>339</v>
      </c>
      <c r="G30" s="3">
        <v>100</v>
      </c>
      <c r="H30" s="3">
        <v>1.5</v>
      </c>
      <c r="I30" s="2">
        <v>114</v>
      </c>
      <c r="J30" s="5" t="s">
        <v>64</v>
      </c>
      <c r="K30" s="2">
        <v>192.6</v>
      </c>
      <c r="L30" s="5" t="s">
        <v>88</v>
      </c>
      <c r="M30" s="3">
        <v>182.3</v>
      </c>
      <c r="N30" s="5" t="s">
        <v>787</v>
      </c>
      <c r="O30" s="3">
        <v>192.5</v>
      </c>
      <c r="P30" s="2"/>
    </row>
    <row r="31" spans="1:21">
      <c r="A31" s="1" t="s">
        <v>370</v>
      </c>
      <c r="B31" s="9" t="s">
        <v>24</v>
      </c>
      <c r="C31" s="7" t="s">
        <v>21</v>
      </c>
      <c r="D31" s="4" t="s">
        <v>7</v>
      </c>
      <c r="E31" s="2">
        <v>60</v>
      </c>
      <c r="F31" s="3" t="s">
        <v>340</v>
      </c>
      <c r="G31" s="3">
        <v>100</v>
      </c>
      <c r="H31" s="3">
        <v>1.5</v>
      </c>
      <c r="I31" s="2">
        <v>114</v>
      </c>
      <c r="J31" s="5" t="s">
        <v>64</v>
      </c>
      <c r="K31" s="2">
        <v>192.6</v>
      </c>
      <c r="L31" s="5" t="s">
        <v>88</v>
      </c>
      <c r="M31" s="3">
        <v>182.3</v>
      </c>
      <c r="N31" s="5" t="s">
        <v>787</v>
      </c>
      <c r="O31" s="3">
        <v>192.5</v>
      </c>
      <c r="P31" s="2"/>
    </row>
    <row r="32" spans="1:21">
      <c r="A32" s="1" t="s">
        <v>371</v>
      </c>
      <c r="B32" s="9" t="s">
        <v>25</v>
      </c>
      <c r="C32" s="7" t="s">
        <v>26</v>
      </c>
      <c r="D32" s="4" t="s">
        <v>8</v>
      </c>
      <c r="E32" s="3">
        <v>24</v>
      </c>
      <c r="G32" s="3">
        <v>100</v>
      </c>
      <c r="H32" s="3">
        <v>1.5</v>
      </c>
      <c r="I32" s="18">
        <v>55.5</v>
      </c>
      <c r="J32" s="5" t="s">
        <v>65</v>
      </c>
      <c r="K32" s="2">
        <v>96.3</v>
      </c>
      <c r="L32" s="5" t="s">
        <v>89</v>
      </c>
      <c r="M32" s="3">
        <v>91.15</v>
      </c>
      <c r="N32" s="5" t="s">
        <v>788</v>
      </c>
      <c r="O32" s="3">
        <v>96.25</v>
      </c>
      <c r="P32" s="2"/>
    </row>
    <row r="33" spans="1:21">
      <c r="A33" s="1" t="s">
        <v>372</v>
      </c>
      <c r="B33" s="9" t="s">
        <v>27</v>
      </c>
      <c r="C33" s="7" t="s">
        <v>26</v>
      </c>
      <c r="D33" s="4" t="s">
        <v>8</v>
      </c>
      <c r="E33" s="3">
        <v>36</v>
      </c>
      <c r="G33" s="3">
        <v>100</v>
      </c>
      <c r="H33" s="3">
        <v>1.5</v>
      </c>
      <c r="I33" s="18">
        <v>78</v>
      </c>
      <c r="J33" s="5" t="s">
        <v>66</v>
      </c>
      <c r="K33" s="2">
        <v>132.15</v>
      </c>
      <c r="L33" s="5" t="s">
        <v>90</v>
      </c>
      <c r="M33" s="3">
        <v>131.03</v>
      </c>
      <c r="N33" s="5" t="s">
        <v>789</v>
      </c>
      <c r="O33" s="3">
        <v>130</v>
      </c>
      <c r="P33" s="2"/>
    </row>
    <row r="34" spans="1:21">
      <c r="A34" s="1" t="s">
        <v>373</v>
      </c>
      <c r="B34" s="9" t="s">
        <v>28</v>
      </c>
      <c r="C34" s="7" t="s">
        <v>26</v>
      </c>
      <c r="D34" s="4" t="s">
        <v>8</v>
      </c>
      <c r="E34" s="3">
        <v>40</v>
      </c>
      <c r="G34" s="3">
        <v>100</v>
      </c>
      <c r="H34" s="3">
        <v>1.5</v>
      </c>
      <c r="I34" s="18">
        <v>78</v>
      </c>
      <c r="J34" s="5" t="s">
        <v>685</v>
      </c>
      <c r="K34" s="2">
        <v>132.15</v>
      </c>
      <c r="L34" s="5" t="s">
        <v>733</v>
      </c>
      <c r="M34" s="3">
        <v>131.03</v>
      </c>
      <c r="N34" s="5" t="s">
        <v>790</v>
      </c>
      <c r="O34" s="3">
        <v>130</v>
      </c>
      <c r="P34" s="2"/>
      <c r="R34" s="14" t="s">
        <v>575</v>
      </c>
      <c r="S34">
        <f>I34-3</f>
        <v>75</v>
      </c>
      <c r="T34" t="s">
        <v>575</v>
      </c>
      <c r="U34">
        <v>160</v>
      </c>
    </row>
    <row r="35" spans="1:21">
      <c r="A35" s="1" t="s">
        <v>374</v>
      </c>
      <c r="B35" s="9" t="s">
        <v>29</v>
      </c>
      <c r="C35" s="7" t="s">
        <v>26</v>
      </c>
      <c r="D35" s="4" t="s">
        <v>8</v>
      </c>
      <c r="E35" s="3">
        <v>60</v>
      </c>
      <c r="G35" s="3">
        <v>100</v>
      </c>
      <c r="H35" s="3">
        <v>1.5</v>
      </c>
      <c r="I35" s="18">
        <v>103</v>
      </c>
      <c r="J35" s="5" t="s">
        <v>67</v>
      </c>
      <c r="K35" s="2">
        <v>182.6</v>
      </c>
      <c r="N35"/>
      <c r="P35" s="2"/>
      <c r="R35" s="14" t="s">
        <v>576</v>
      </c>
      <c r="S35">
        <f>I35</f>
        <v>103</v>
      </c>
      <c r="T35" t="s">
        <v>576</v>
      </c>
      <c r="U35">
        <v>225</v>
      </c>
    </row>
    <row r="36" spans="1:21">
      <c r="A36" s="1" t="s">
        <v>374</v>
      </c>
      <c r="B36" s="9" t="s">
        <v>29</v>
      </c>
      <c r="C36" s="7" t="s">
        <v>26</v>
      </c>
      <c r="D36" s="4" t="s">
        <v>8</v>
      </c>
      <c r="E36" s="3">
        <v>60</v>
      </c>
      <c r="G36" s="3">
        <v>100</v>
      </c>
      <c r="H36" s="3">
        <v>1.5</v>
      </c>
      <c r="I36" s="18">
        <v>107</v>
      </c>
      <c r="J36" s="5"/>
      <c r="L36" s="5" t="s">
        <v>91</v>
      </c>
      <c r="M36" s="3">
        <v>182.3</v>
      </c>
      <c r="N36" s="5" t="s">
        <v>794</v>
      </c>
      <c r="O36" s="3">
        <v>192.5</v>
      </c>
      <c r="P36" s="2"/>
    </row>
    <row r="37" spans="1:21">
      <c r="A37" s="1" t="s">
        <v>374</v>
      </c>
      <c r="B37" s="9" t="s">
        <v>29</v>
      </c>
      <c r="C37" s="7" t="s">
        <v>26</v>
      </c>
      <c r="D37" s="4" t="s">
        <v>8</v>
      </c>
      <c r="E37" s="3">
        <v>60</v>
      </c>
      <c r="F37" s="3" t="s">
        <v>339</v>
      </c>
      <c r="G37" s="3">
        <v>100</v>
      </c>
      <c r="H37" s="3">
        <v>1.5</v>
      </c>
      <c r="I37" s="18">
        <v>110</v>
      </c>
      <c r="J37" s="5" t="s">
        <v>67</v>
      </c>
      <c r="K37" s="2">
        <v>192.6</v>
      </c>
      <c r="L37" s="5" t="s">
        <v>91</v>
      </c>
      <c r="M37" s="3">
        <v>182.3</v>
      </c>
      <c r="N37" s="5" t="s">
        <v>794</v>
      </c>
      <c r="O37" s="3">
        <v>192.5</v>
      </c>
      <c r="P37" s="2"/>
    </row>
    <row r="38" spans="1:21">
      <c r="A38" s="1" t="s">
        <v>374</v>
      </c>
      <c r="B38" s="9" t="s">
        <v>29</v>
      </c>
      <c r="C38" s="7" t="s">
        <v>26</v>
      </c>
      <c r="D38" s="4" t="s">
        <v>8</v>
      </c>
      <c r="E38" s="2">
        <v>60</v>
      </c>
      <c r="F38" s="3" t="s">
        <v>340</v>
      </c>
      <c r="G38" s="3">
        <v>100</v>
      </c>
      <c r="H38" s="3">
        <v>1.5</v>
      </c>
      <c r="I38" s="18">
        <v>110</v>
      </c>
      <c r="J38" s="5" t="s">
        <v>67</v>
      </c>
      <c r="K38" s="2">
        <v>192.6</v>
      </c>
      <c r="L38" s="5" t="s">
        <v>91</v>
      </c>
      <c r="M38" s="3">
        <v>182.3</v>
      </c>
      <c r="N38" s="5" t="s">
        <v>794</v>
      </c>
      <c r="O38" s="3">
        <v>192.5</v>
      </c>
      <c r="P38" s="2"/>
    </row>
    <row r="39" spans="1:21">
      <c r="A39" s="1" t="s">
        <v>375</v>
      </c>
      <c r="B39" s="9" t="s">
        <v>49</v>
      </c>
      <c r="C39" s="7" t="s">
        <v>31</v>
      </c>
      <c r="D39" s="4" t="s">
        <v>9</v>
      </c>
      <c r="E39" s="3">
        <v>24</v>
      </c>
      <c r="G39" s="3">
        <v>100</v>
      </c>
      <c r="H39" s="3">
        <v>1.5</v>
      </c>
      <c r="I39" s="18">
        <v>55</v>
      </c>
      <c r="J39" s="5" t="s">
        <v>78</v>
      </c>
      <c r="K39" s="2">
        <v>96.3</v>
      </c>
      <c r="L39" s="5" t="s">
        <v>92</v>
      </c>
      <c r="M39" s="3">
        <v>91.15</v>
      </c>
      <c r="N39" s="5" t="s">
        <v>795</v>
      </c>
      <c r="O39" s="3">
        <v>96.25</v>
      </c>
      <c r="P39" s="2"/>
    </row>
    <row r="40" spans="1:21">
      <c r="A40" s="1" t="s">
        <v>376</v>
      </c>
      <c r="B40" s="9" t="s">
        <v>50</v>
      </c>
      <c r="C40" s="7" t="s">
        <v>31</v>
      </c>
      <c r="D40" s="4" t="s">
        <v>9</v>
      </c>
      <c r="E40" s="3">
        <v>36</v>
      </c>
      <c r="G40" s="3">
        <v>100</v>
      </c>
      <c r="H40" s="3">
        <v>1.5</v>
      </c>
      <c r="I40" s="18">
        <v>78</v>
      </c>
      <c r="J40" s="5" t="s">
        <v>79</v>
      </c>
      <c r="K40" s="2">
        <v>132.15</v>
      </c>
      <c r="L40" s="5" t="s">
        <v>93</v>
      </c>
      <c r="M40" s="3">
        <v>131.03</v>
      </c>
      <c r="N40" s="5" t="s">
        <v>796</v>
      </c>
      <c r="O40" s="3">
        <v>130</v>
      </c>
      <c r="P40" s="2"/>
    </row>
    <row r="41" spans="1:21">
      <c r="A41" s="1" t="s">
        <v>377</v>
      </c>
      <c r="B41" s="9" t="s">
        <v>30</v>
      </c>
      <c r="C41" s="7" t="s">
        <v>31</v>
      </c>
      <c r="D41" s="4" t="s">
        <v>9</v>
      </c>
      <c r="E41" s="3">
        <v>40</v>
      </c>
      <c r="G41" s="3">
        <v>100</v>
      </c>
      <c r="H41" s="3">
        <v>1.5</v>
      </c>
      <c r="I41" s="18">
        <v>78</v>
      </c>
      <c r="J41" s="5" t="s">
        <v>686</v>
      </c>
      <c r="K41" s="2">
        <v>132.15</v>
      </c>
      <c r="L41" s="5" t="s">
        <v>734</v>
      </c>
      <c r="M41" s="3">
        <v>131.03</v>
      </c>
      <c r="N41" s="5" t="s">
        <v>797</v>
      </c>
      <c r="O41" s="3">
        <v>130</v>
      </c>
      <c r="R41" s="14" t="s">
        <v>857</v>
      </c>
      <c r="S41">
        <v>75</v>
      </c>
    </row>
    <row r="42" spans="1:21">
      <c r="A42" s="1" t="s">
        <v>378</v>
      </c>
      <c r="B42" s="9" t="s">
        <v>32</v>
      </c>
      <c r="C42" s="7" t="s">
        <v>31</v>
      </c>
      <c r="D42" s="4" t="s">
        <v>9</v>
      </c>
      <c r="E42" s="3">
        <v>60</v>
      </c>
      <c r="G42" s="3">
        <v>100</v>
      </c>
      <c r="H42" s="3">
        <v>1.5</v>
      </c>
      <c r="I42" s="18">
        <v>103</v>
      </c>
      <c r="J42" s="5" t="s">
        <v>68</v>
      </c>
      <c r="K42" s="2">
        <v>182.6</v>
      </c>
      <c r="N42"/>
      <c r="R42" s="14" t="s">
        <v>858</v>
      </c>
      <c r="S42">
        <v>103</v>
      </c>
    </row>
    <row r="43" spans="1:21">
      <c r="A43" s="1" t="s">
        <v>378</v>
      </c>
      <c r="B43" s="9" t="s">
        <v>32</v>
      </c>
      <c r="C43" s="7" t="s">
        <v>31</v>
      </c>
      <c r="D43" s="4" t="s">
        <v>9</v>
      </c>
      <c r="E43" s="3">
        <v>60</v>
      </c>
      <c r="G43" s="3">
        <v>100</v>
      </c>
      <c r="H43" s="3">
        <v>1.5</v>
      </c>
      <c r="I43" s="18">
        <v>107</v>
      </c>
      <c r="J43" s="5"/>
      <c r="L43" s="5" t="s">
        <v>94</v>
      </c>
      <c r="M43" s="3">
        <v>182.3</v>
      </c>
      <c r="N43" s="5" t="s">
        <v>798</v>
      </c>
      <c r="O43" s="3">
        <v>192.5</v>
      </c>
    </row>
    <row r="44" spans="1:21">
      <c r="A44" s="1" t="s">
        <v>378</v>
      </c>
      <c r="B44" s="9" t="s">
        <v>32</v>
      </c>
      <c r="C44" s="7" t="s">
        <v>31</v>
      </c>
      <c r="D44" s="4" t="s">
        <v>9</v>
      </c>
      <c r="E44" s="3">
        <v>60</v>
      </c>
      <c r="F44" s="3" t="s">
        <v>339</v>
      </c>
      <c r="G44" s="3">
        <v>100</v>
      </c>
      <c r="H44" s="3">
        <v>1.5</v>
      </c>
      <c r="I44" s="18">
        <v>110</v>
      </c>
      <c r="J44" s="5" t="s">
        <v>68</v>
      </c>
      <c r="K44" s="2">
        <v>192.6</v>
      </c>
      <c r="L44" s="5" t="s">
        <v>94</v>
      </c>
      <c r="M44" s="3">
        <v>182.3</v>
      </c>
      <c r="N44" s="5" t="s">
        <v>798</v>
      </c>
      <c r="O44" s="3">
        <v>192.5</v>
      </c>
    </row>
    <row r="45" spans="1:21">
      <c r="A45" s="1" t="s">
        <v>378</v>
      </c>
      <c r="B45" s="9" t="s">
        <v>32</v>
      </c>
      <c r="C45" s="7" t="s">
        <v>31</v>
      </c>
      <c r="D45" s="4" t="s">
        <v>9</v>
      </c>
      <c r="E45" s="2">
        <v>60</v>
      </c>
      <c r="F45" s="3" t="s">
        <v>340</v>
      </c>
      <c r="G45" s="3">
        <v>100</v>
      </c>
      <c r="H45" s="3">
        <v>1.5</v>
      </c>
      <c r="I45" s="18">
        <v>110</v>
      </c>
      <c r="J45" s="5" t="s">
        <v>68</v>
      </c>
      <c r="K45" s="2">
        <v>192.6</v>
      </c>
      <c r="L45" s="5" t="s">
        <v>94</v>
      </c>
      <c r="M45" s="3">
        <v>182.3</v>
      </c>
      <c r="N45" s="5" t="s">
        <v>798</v>
      </c>
      <c r="O45" s="3">
        <v>192.5</v>
      </c>
    </row>
    <row r="46" spans="1:21">
      <c r="A46" s="1" t="s">
        <v>379</v>
      </c>
      <c r="B46" s="9" t="s">
        <v>51</v>
      </c>
      <c r="C46" s="7" t="s">
        <v>34</v>
      </c>
      <c r="D46" s="4" t="s">
        <v>10</v>
      </c>
      <c r="E46" s="3">
        <v>24</v>
      </c>
      <c r="G46" s="3">
        <v>100</v>
      </c>
      <c r="H46" s="3">
        <v>1.5</v>
      </c>
      <c r="I46" s="18">
        <v>55</v>
      </c>
      <c r="J46" s="5" t="s">
        <v>77</v>
      </c>
      <c r="K46" s="2">
        <v>96.3</v>
      </c>
      <c r="L46" s="5" t="s">
        <v>95</v>
      </c>
      <c r="M46" s="3">
        <v>91.15</v>
      </c>
      <c r="N46" s="5" t="s">
        <v>799</v>
      </c>
      <c r="O46" s="3">
        <v>96.25</v>
      </c>
    </row>
    <row r="47" spans="1:21">
      <c r="A47" s="1" t="s">
        <v>380</v>
      </c>
      <c r="B47" s="9" t="s">
        <v>33</v>
      </c>
      <c r="C47" s="7" t="s">
        <v>34</v>
      </c>
      <c r="D47" s="4" t="s">
        <v>10</v>
      </c>
      <c r="E47" s="3">
        <v>36</v>
      </c>
      <c r="G47" s="3">
        <v>100</v>
      </c>
      <c r="H47" s="3">
        <v>1.5</v>
      </c>
      <c r="I47" s="18">
        <v>78</v>
      </c>
      <c r="J47" s="5" t="s">
        <v>69</v>
      </c>
      <c r="K47" s="2">
        <v>132.15</v>
      </c>
      <c r="L47" s="5" t="s">
        <v>96</v>
      </c>
      <c r="M47" s="3">
        <v>131.03</v>
      </c>
      <c r="N47" s="5" t="s">
        <v>800</v>
      </c>
      <c r="O47" s="3">
        <v>130</v>
      </c>
    </row>
    <row r="48" spans="1:21">
      <c r="A48" s="1" t="s">
        <v>381</v>
      </c>
      <c r="B48" s="9" t="s">
        <v>35</v>
      </c>
      <c r="C48" s="7" t="s">
        <v>34</v>
      </c>
      <c r="D48" s="4" t="s">
        <v>10</v>
      </c>
      <c r="E48" s="3">
        <v>40</v>
      </c>
      <c r="G48" s="3">
        <v>100</v>
      </c>
      <c r="H48" s="3">
        <v>1.5</v>
      </c>
      <c r="I48" s="18">
        <v>78</v>
      </c>
      <c r="J48" s="5" t="s">
        <v>687</v>
      </c>
      <c r="K48" s="2">
        <v>132.15</v>
      </c>
      <c r="L48" s="5" t="s">
        <v>735</v>
      </c>
      <c r="M48" s="3">
        <v>131.03</v>
      </c>
      <c r="N48" s="5" t="s">
        <v>801</v>
      </c>
      <c r="O48" s="3">
        <v>130</v>
      </c>
      <c r="R48" s="14" t="s">
        <v>577</v>
      </c>
      <c r="S48">
        <v>75</v>
      </c>
      <c r="T48" t="s">
        <v>577</v>
      </c>
      <c r="U48">
        <v>160</v>
      </c>
    </row>
    <row r="49" spans="1:21">
      <c r="A49" s="1" t="s">
        <v>382</v>
      </c>
      <c r="B49" s="9" t="s">
        <v>36</v>
      </c>
      <c r="C49" s="7" t="s">
        <v>34</v>
      </c>
      <c r="D49" s="4" t="s">
        <v>10</v>
      </c>
      <c r="E49" s="3">
        <v>60</v>
      </c>
      <c r="G49" s="3">
        <v>100</v>
      </c>
      <c r="H49" s="3">
        <v>1.5</v>
      </c>
      <c r="I49" s="18">
        <v>103</v>
      </c>
      <c r="J49" s="5" t="s">
        <v>70</v>
      </c>
      <c r="K49" s="2">
        <v>182.6</v>
      </c>
      <c r="N49"/>
      <c r="R49" s="14" t="s">
        <v>578</v>
      </c>
      <c r="S49">
        <v>103</v>
      </c>
      <c r="T49" t="s">
        <v>578</v>
      </c>
      <c r="U49">
        <v>225</v>
      </c>
    </row>
    <row r="50" spans="1:21">
      <c r="A50" s="1" t="s">
        <v>382</v>
      </c>
      <c r="B50" s="9" t="s">
        <v>36</v>
      </c>
      <c r="C50" s="7" t="s">
        <v>34</v>
      </c>
      <c r="D50" s="4" t="s">
        <v>10</v>
      </c>
      <c r="E50" s="3">
        <v>60</v>
      </c>
      <c r="G50" s="3">
        <v>100</v>
      </c>
      <c r="H50" s="3">
        <v>1.5</v>
      </c>
      <c r="I50" s="18">
        <v>107</v>
      </c>
      <c r="J50" s="5"/>
      <c r="L50" s="5" t="s">
        <v>97</v>
      </c>
      <c r="M50" s="3">
        <v>182.3</v>
      </c>
      <c r="N50" s="5" t="s">
        <v>802</v>
      </c>
      <c r="O50" s="3">
        <v>192.5</v>
      </c>
    </row>
    <row r="51" spans="1:21">
      <c r="A51" s="1" t="s">
        <v>382</v>
      </c>
      <c r="B51" s="9" t="s">
        <v>36</v>
      </c>
      <c r="C51" s="7" t="s">
        <v>34</v>
      </c>
      <c r="D51" s="4" t="s">
        <v>10</v>
      </c>
      <c r="E51" s="3">
        <v>60</v>
      </c>
      <c r="F51" s="3" t="s">
        <v>339</v>
      </c>
      <c r="G51" s="3">
        <v>100</v>
      </c>
      <c r="H51" s="3">
        <v>1.5</v>
      </c>
      <c r="I51" s="18">
        <v>110</v>
      </c>
      <c r="J51" s="5" t="s">
        <v>70</v>
      </c>
      <c r="K51" s="2">
        <v>192.6</v>
      </c>
      <c r="L51" s="5" t="s">
        <v>97</v>
      </c>
      <c r="M51" s="3">
        <v>182.3</v>
      </c>
      <c r="N51" s="5" t="s">
        <v>802</v>
      </c>
      <c r="O51" s="3">
        <v>192.5</v>
      </c>
    </row>
    <row r="52" spans="1:21">
      <c r="A52" s="1" t="s">
        <v>382</v>
      </c>
      <c r="B52" s="9" t="s">
        <v>36</v>
      </c>
      <c r="C52" s="7" t="s">
        <v>34</v>
      </c>
      <c r="D52" s="4" t="s">
        <v>10</v>
      </c>
      <c r="E52" s="2">
        <v>60</v>
      </c>
      <c r="F52" s="3" t="s">
        <v>340</v>
      </c>
      <c r="G52" s="3">
        <v>100</v>
      </c>
      <c r="H52" s="3">
        <v>1.5</v>
      </c>
      <c r="I52" s="18">
        <v>110</v>
      </c>
      <c r="J52" s="5" t="s">
        <v>70</v>
      </c>
      <c r="K52" s="2">
        <v>192.6</v>
      </c>
      <c r="L52" s="5" t="s">
        <v>97</v>
      </c>
      <c r="M52" s="3">
        <v>182.3</v>
      </c>
      <c r="N52" s="5" t="s">
        <v>802</v>
      </c>
      <c r="O52" s="3">
        <v>192.5</v>
      </c>
    </row>
    <row r="53" spans="1:21">
      <c r="A53" s="1" t="s">
        <v>383</v>
      </c>
      <c r="B53" s="9" t="s">
        <v>52</v>
      </c>
      <c r="C53" s="7" t="s">
        <v>38</v>
      </c>
      <c r="D53" s="4" t="s">
        <v>11</v>
      </c>
      <c r="E53" s="3">
        <v>24</v>
      </c>
      <c r="G53" s="3">
        <v>100</v>
      </c>
      <c r="H53" s="3">
        <v>1.5</v>
      </c>
      <c r="I53" s="18">
        <v>55</v>
      </c>
      <c r="J53" s="5" t="s">
        <v>75</v>
      </c>
      <c r="K53" s="2">
        <v>96.3</v>
      </c>
      <c r="L53" s="5" t="s">
        <v>98</v>
      </c>
      <c r="M53" s="3">
        <v>91.15</v>
      </c>
      <c r="N53" s="5" t="s">
        <v>803</v>
      </c>
      <c r="O53" s="3">
        <v>96.25</v>
      </c>
    </row>
    <row r="54" spans="1:21">
      <c r="A54" s="1" t="s">
        <v>384</v>
      </c>
      <c r="B54" s="9" t="s">
        <v>53</v>
      </c>
      <c r="C54" s="7" t="s">
        <v>38</v>
      </c>
      <c r="D54" s="4" t="s">
        <v>11</v>
      </c>
      <c r="E54" s="3">
        <v>36</v>
      </c>
      <c r="G54" s="3">
        <v>100</v>
      </c>
      <c r="H54" s="3">
        <v>1.5</v>
      </c>
      <c r="I54" s="18">
        <v>78</v>
      </c>
      <c r="J54" s="5" t="s">
        <v>76</v>
      </c>
      <c r="K54" s="2">
        <v>132.15</v>
      </c>
      <c r="L54" s="5" t="s">
        <v>99</v>
      </c>
      <c r="M54" s="3">
        <v>131.03</v>
      </c>
      <c r="N54" s="5" t="s">
        <v>804</v>
      </c>
      <c r="O54" s="3">
        <v>130</v>
      </c>
    </row>
    <row r="55" spans="1:21">
      <c r="A55" s="1" t="s">
        <v>385</v>
      </c>
      <c r="B55" s="9" t="s">
        <v>37</v>
      </c>
      <c r="C55" s="7" t="s">
        <v>38</v>
      </c>
      <c r="D55" s="4" t="s">
        <v>11</v>
      </c>
      <c r="E55" s="3">
        <v>40</v>
      </c>
      <c r="G55" s="3">
        <v>100</v>
      </c>
      <c r="H55" s="3">
        <v>1.5</v>
      </c>
      <c r="I55" s="18">
        <v>78</v>
      </c>
      <c r="J55" s="5" t="s">
        <v>688</v>
      </c>
      <c r="K55" s="2">
        <v>132.15</v>
      </c>
      <c r="L55" s="5" t="s">
        <v>736</v>
      </c>
      <c r="M55" s="3">
        <v>131.03</v>
      </c>
      <c r="N55" s="5" t="s">
        <v>805</v>
      </c>
      <c r="O55" s="3">
        <v>130</v>
      </c>
      <c r="R55" s="14" t="s">
        <v>581</v>
      </c>
      <c r="S55">
        <v>75</v>
      </c>
      <c r="T55" t="s">
        <v>581</v>
      </c>
      <c r="U55">
        <v>160</v>
      </c>
    </row>
    <row r="56" spans="1:21">
      <c r="A56" s="1" t="s">
        <v>386</v>
      </c>
      <c r="B56" s="9" t="s">
        <v>39</v>
      </c>
      <c r="C56" s="7" t="s">
        <v>38</v>
      </c>
      <c r="D56" s="4" t="s">
        <v>11</v>
      </c>
      <c r="E56" s="3">
        <v>60</v>
      </c>
      <c r="G56" s="3">
        <v>100</v>
      </c>
      <c r="H56" s="3">
        <v>1.5</v>
      </c>
      <c r="I56" s="18">
        <v>103</v>
      </c>
      <c r="J56" s="5" t="s">
        <v>71</v>
      </c>
      <c r="K56" s="2">
        <v>182.6</v>
      </c>
      <c r="N56"/>
      <c r="R56" s="14" t="s">
        <v>582</v>
      </c>
      <c r="S56">
        <v>103</v>
      </c>
      <c r="T56" t="s">
        <v>582</v>
      </c>
      <c r="U56">
        <v>225</v>
      </c>
    </row>
    <row r="57" spans="1:21">
      <c r="A57" s="1" t="s">
        <v>386</v>
      </c>
      <c r="B57" s="9" t="s">
        <v>39</v>
      </c>
      <c r="C57" s="7" t="s">
        <v>38</v>
      </c>
      <c r="D57" s="4" t="s">
        <v>11</v>
      </c>
      <c r="E57" s="3">
        <v>60</v>
      </c>
      <c r="G57" s="3">
        <v>100</v>
      </c>
      <c r="H57" s="3">
        <v>1.5</v>
      </c>
      <c r="I57" s="18">
        <v>107</v>
      </c>
      <c r="J57" s="5"/>
      <c r="L57" s="5" t="s">
        <v>100</v>
      </c>
      <c r="M57" s="3">
        <v>182.3</v>
      </c>
      <c r="N57" s="5" t="s">
        <v>806</v>
      </c>
      <c r="O57" s="3">
        <v>192.5</v>
      </c>
    </row>
    <row r="58" spans="1:21">
      <c r="A58" s="1" t="s">
        <v>386</v>
      </c>
      <c r="B58" s="9" t="s">
        <v>39</v>
      </c>
      <c r="C58" s="7" t="s">
        <v>38</v>
      </c>
      <c r="D58" s="4" t="s">
        <v>11</v>
      </c>
      <c r="E58" s="3">
        <v>60</v>
      </c>
      <c r="F58" s="3" t="s">
        <v>339</v>
      </c>
      <c r="G58" s="3">
        <v>100</v>
      </c>
      <c r="H58" s="3">
        <v>1.5</v>
      </c>
      <c r="I58" s="18">
        <v>110</v>
      </c>
      <c r="J58" s="5" t="s">
        <v>71</v>
      </c>
      <c r="K58" s="2">
        <v>192.6</v>
      </c>
      <c r="L58" s="5" t="s">
        <v>100</v>
      </c>
      <c r="M58" s="3">
        <v>182.3</v>
      </c>
      <c r="N58" s="5" t="s">
        <v>806</v>
      </c>
      <c r="O58" s="3">
        <v>192.5</v>
      </c>
    </row>
    <row r="59" spans="1:21">
      <c r="A59" s="1" t="s">
        <v>386</v>
      </c>
      <c r="B59" s="9" t="s">
        <v>39</v>
      </c>
      <c r="C59" s="7" t="s">
        <v>38</v>
      </c>
      <c r="D59" s="4" t="s">
        <v>11</v>
      </c>
      <c r="E59" s="2">
        <v>60</v>
      </c>
      <c r="F59" s="3" t="s">
        <v>340</v>
      </c>
      <c r="G59" s="3">
        <v>100</v>
      </c>
      <c r="H59" s="3">
        <v>1.5</v>
      </c>
      <c r="I59" s="18">
        <v>110</v>
      </c>
      <c r="J59" s="5" t="s">
        <v>71</v>
      </c>
      <c r="K59" s="2">
        <v>192.6</v>
      </c>
      <c r="L59" s="5" t="s">
        <v>100</v>
      </c>
      <c r="M59" s="3">
        <v>182.3</v>
      </c>
      <c r="N59" s="5" t="s">
        <v>806</v>
      </c>
      <c r="O59" s="3">
        <v>192.5</v>
      </c>
    </row>
    <row r="60" spans="1:21">
      <c r="A60" s="1" t="s">
        <v>387</v>
      </c>
      <c r="B60" s="9" t="s">
        <v>54</v>
      </c>
      <c r="C60" s="7" t="s">
        <v>41</v>
      </c>
      <c r="D60" s="4" t="s">
        <v>12</v>
      </c>
      <c r="E60" s="3">
        <v>24</v>
      </c>
      <c r="G60" s="3">
        <v>100</v>
      </c>
      <c r="H60" s="3">
        <v>1.5</v>
      </c>
      <c r="I60" s="18">
        <v>55</v>
      </c>
      <c r="J60" s="5" t="s">
        <v>74</v>
      </c>
      <c r="K60" s="2">
        <v>96.3</v>
      </c>
      <c r="L60" s="5" t="s">
        <v>101</v>
      </c>
      <c r="M60" s="3">
        <v>91.15</v>
      </c>
      <c r="N60" s="5" t="s">
        <v>807</v>
      </c>
      <c r="O60" s="3">
        <v>96.25</v>
      </c>
    </row>
    <row r="61" spans="1:21">
      <c r="A61" s="1" t="s">
        <v>388</v>
      </c>
      <c r="B61" s="9" t="s">
        <v>40</v>
      </c>
      <c r="C61" s="7" t="s">
        <v>41</v>
      </c>
      <c r="D61" s="4" t="s">
        <v>12</v>
      </c>
      <c r="E61" s="3">
        <v>36</v>
      </c>
      <c r="G61" s="3">
        <v>100</v>
      </c>
      <c r="H61" s="3">
        <v>1.5</v>
      </c>
      <c r="I61" s="18">
        <v>78</v>
      </c>
      <c r="J61" s="5" t="s">
        <v>72</v>
      </c>
      <c r="K61" s="2">
        <v>132.15</v>
      </c>
      <c r="L61" s="5" t="s">
        <v>102</v>
      </c>
      <c r="M61" s="3">
        <v>131.03</v>
      </c>
      <c r="N61" s="5" t="s">
        <v>808</v>
      </c>
      <c r="O61" s="3">
        <v>130</v>
      </c>
    </row>
    <row r="62" spans="1:21">
      <c r="A62" s="1" t="s">
        <v>389</v>
      </c>
      <c r="B62" s="9" t="s">
        <v>42</v>
      </c>
      <c r="C62" s="7" t="s">
        <v>41</v>
      </c>
      <c r="D62" s="4" t="s">
        <v>12</v>
      </c>
      <c r="E62" s="3">
        <v>40</v>
      </c>
      <c r="G62" s="3">
        <v>100</v>
      </c>
      <c r="H62" s="3">
        <v>1.5</v>
      </c>
      <c r="I62" s="18">
        <v>78</v>
      </c>
      <c r="J62" s="5" t="s">
        <v>689</v>
      </c>
      <c r="K62" s="2">
        <v>132.15</v>
      </c>
      <c r="L62" s="5" t="s">
        <v>737</v>
      </c>
      <c r="M62" s="3">
        <v>131.03</v>
      </c>
      <c r="N62" s="5" t="s">
        <v>809</v>
      </c>
      <c r="O62" s="3">
        <v>130</v>
      </c>
      <c r="R62" s="14" t="s">
        <v>579</v>
      </c>
      <c r="S62">
        <v>75</v>
      </c>
      <c r="T62" t="s">
        <v>579</v>
      </c>
      <c r="U62">
        <v>160</v>
      </c>
    </row>
    <row r="63" spans="1:21">
      <c r="A63" s="1" t="s">
        <v>390</v>
      </c>
      <c r="B63" s="9" t="s">
        <v>43</v>
      </c>
      <c r="C63" s="7" t="s">
        <v>41</v>
      </c>
      <c r="D63" s="4" t="s">
        <v>12</v>
      </c>
      <c r="E63" s="3">
        <v>60</v>
      </c>
      <c r="G63" s="3">
        <v>100</v>
      </c>
      <c r="H63" s="3">
        <v>1.5</v>
      </c>
      <c r="I63" s="18">
        <v>103</v>
      </c>
      <c r="J63" s="5" t="s">
        <v>73</v>
      </c>
      <c r="K63" s="2">
        <v>182.6</v>
      </c>
      <c r="N63"/>
      <c r="R63" s="14" t="s">
        <v>580</v>
      </c>
      <c r="S63">
        <v>103</v>
      </c>
      <c r="T63" t="s">
        <v>580</v>
      </c>
      <c r="U63">
        <v>225</v>
      </c>
    </row>
    <row r="64" spans="1:21">
      <c r="A64" s="1" t="s">
        <v>390</v>
      </c>
      <c r="B64" s="9" t="s">
        <v>43</v>
      </c>
      <c r="C64" s="7" t="s">
        <v>41</v>
      </c>
      <c r="D64" s="4" t="s">
        <v>12</v>
      </c>
      <c r="E64" s="3">
        <v>60</v>
      </c>
      <c r="G64" s="3">
        <v>100</v>
      </c>
      <c r="H64" s="3">
        <v>1.5</v>
      </c>
      <c r="I64" s="18">
        <v>107</v>
      </c>
      <c r="J64" s="5"/>
      <c r="L64" s="5" t="s">
        <v>103</v>
      </c>
      <c r="M64" s="3">
        <v>182.3</v>
      </c>
      <c r="N64" s="5" t="s">
        <v>810</v>
      </c>
      <c r="O64" s="3">
        <v>192.5</v>
      </c>
    </row>
    <row r="65" spans="1:21">
      <c r="A65" s="1" t="s">
        <v>390</v>
      </c>
      <c r="B65" s="9" t="s">
        <v>43</v>
      </c>
      <c r="C65" s="7" t="s">
        <v>41</v>
      </c>
      <c r="D65" s="4" t="s">
        <v>12</v>
      </c>
      <c r="E65" s="3">
        <v>60</v>
      </c>
      <c r="F65" s="3" t="s">
        <v>339</v>
      </c>
      <c r="G65" s="3">
        <v>100</v>
      </c>
      <c r="H65" s="3">
        <v>1.5</v>
      </c>
      <c r="I65" s="18">
        <v>110</v>
      </c>
      <c r="J65" s="5" t="s">
        <v>73</v>
      </c>
      <c r="K65" s="2">
        <v>192.6</v>
      </c>
      <c r="L65" s="5" t="s">
        <v>103</v>
      </c>
      <c r="M65" s="3">
        <v>182.3</v>
      </c>
      <c r="N65" s="5" t="s">
        <v>810</v>
      </c>
      <c r="O65" s="3">
        <v>192.5</v>
      </c>
    </row>
    <row r="66" spans="1:21">
      <c r="A66" s="1" t="s">
        <v>390</v>
      </c>
      <c r="B66" s="9" t="s">
        <v>43</v>
      </c>
      <c r="C66" s="7" t="s">
        <v>41</v>
      </c>
      <c r="D66" s="4" t="s">
        <v>12</v>
      </c>
      <c r="E66" s="2">
        <v>60</v>
      </c>
      <c r="F66" s="3" t="s">
        <v>340</v>
      </c>
      <c r="G66" s="3">
        <v>100</v>
      </c>
      <c r="H66" s="3">
        <v>1.5</v>
      </c>
      <c r="I66" s="18">
        <v>110</v>
      </c>
      <c r="J66" s="5" t="s">
        <v>73</v>
      </c>
      <c r="K66" s="2">
        <v>192.6</v>
      </c>
      <c r="L66" s="5" t="s">
        <v>103</v>
      </c>
      <c r="M66" s="3">
        <v>182.3</v>
      </c>
      <c r="N66" s="5" t="s">
        <v>810</v>
      </c>
      <c r="O66" s="3">
        <v>192.5</v>
      </c>
    </row>
    <row r="67" spans="1:21">
      <c r="A67" s="1" t="s">
        <v>391</v>
      </c>
      <c r="B67" s="9" t="s">
        <v>149</v>
      </c>
      <c r="C67" s="7" t="s">
        <v>194</v>
      </c>
      <c r="D67" s="4" t="s">
        <v>1</v>
      </c>
      <c r="E67" s="3">
        <v>24</v>
      </c>
      <c r="G67" s="3">
        <v>100</v>
      </c>
      <c r="H67" s="3">
        <v>1.5</v>
      </c>
      <c r="I67" s="18">
        <v>83.5</v>
      </c>
      <c r="J67" s="5"/>
      <c r="L67" s="5" t="s">
        <v>125</v>
      </c>
      <c r="M67" s="3">
        <v>166.84</v>
      </c>
      <c r="N67" s="5"/>
    </row>
    <row r="68" spans="1:21">
      <c r="A68" s="1" t="s">
        <v>392</v>
      </c>
      <c r="B68" s="9" t="s">
        <v>150</v>
      </c>
      <c r="C68" s="7" t="s">
        <v>194</v>
      </c>
      <c r="D68" s="4" t="s">
        <v>1</v>
      </c>
      <c r="E68" s="3">
        <v>36</v>
      </c>
      <c r="G68" s="3">
        <v>100</v>
      </c>
      <c r="H68" s="3">
        <v>1.5</v>
      </c>
      <c r="I68" s="18">
        <v>117</v>
      </c>
      <c r="J68" s="5"/>
      <c r="L68" s="5" t="s">
        <v>126</v>
      </c>
      <c r="M68" s="3">
        <v>235.94</v>
      </c>
      <c r="N68" s="5"/>
      <c r="P68" s="2"/>
    </row>
    <row r="69" spans="1:21">
      <c r="A69" s="1" t="s">
        <v>393</v>
      </c>
      <c r="B69" s="9" t="s">
        <v>151</v>
      </c>
      <c r="C69" s="7" t="s">
        <v>194</v>
      </c>
      <c r="D69" s="4" t="s">
        <v>1</v>
      </c>
      <c r="E69" s="3">
        <v>40</v>
      </c>
      <c r="G69" s="3">
        <v>100</v>
      </c>
      <c r="H69" s="3">
        <v>1.5</v>
      </c>
      <c r="I69" s="18">
        <v>117</v>
      </c>
      <c r="J69" s="5"/>
      <c r="L69" s="5" t="s">
        <v>738</v>
      </c>
      <c r="M69" s="3">
        <v>235.94</v>
      </c>
      <c r="N69" s="5"/>
    </row>
    <row r="70" spans="1:21">
      <c r="A70" s="1" t="s">
        <v>394</v>
      </c>
      <c r="B70" s="9" t="s">
        <v>152</v>
      </c>
      <c r="C70" s="7" t="s">
        <v>194</v>
      </c>
      <c r="D70" s="4" t="s">
        <v>1</v>
      </c>
      <c r="E70" s="3">
        <v>60</v>
      </c>
      <c r="G70" s="3">
        <v>100</v>
      </c>
      <c r="H70" s="3">
        <v>1.5</v>
      </c>
      <c r="I70" s="18">
        <v>164</v>
      </c>
      <c r="J70" s="5"/>
      <c r="L70" s="5" t="s">
        <v>127</v>
      </c>
      <c r="M70" s="3">
        <v>333.68</v>
      </c>
      <c r="N70" s="5"/>
    </row>
    <row r="71" spans="1:21">
      <c r="A71" s="1" t="s">
        <v>394</v>
      </c>
      <c r="B71" s="9" t="s">
        <v>152</v>
      </c>
      <c r="C71" s="7" t="s">
        <v>194</v>
      </c>
      <c r="D71" s="4" t="s">
        <v>1</v>
      </c>
      <c r="E71" s="3">
        <v>60</v>
      </c>
      <c r="F71" s="3" t="s">
        <v>339</v>
      </c>
      <c r="G71" s="3">
        <v>100</v>
      </c>
      <c r="H71" s="3">
        <v>1.5</v>
      </c>
      <c r="I71" s="18">
        <v>167</v>
      </c>
      <c r="J71" s="5"/>
      <c r="L71" s="5" t="s">
        <v>127</v>
      </c>
      <c r="M71" s="3">
        <v>333.68</v>
      </c>
      <c r="N71" s="5"/>
    </row>
    <row r="72" spans="1:21">
      <c r="A72" s="1" t="s">
        <v>394</v>
      </c>
      <c r="B72" s="9" t="s">
        <v>152</v>
      </c>
      <c r="C72" s="7" t="s">
        <v>194</v>
      </c>
      <c r="D72" s="4" t="s">
        <v>1</v>
      </c>
      <c r="E72" s="2">
        <v>60</v>
      </c>
      <c r="F72" s="3" t="s">
        <v>340</v>
      </c>
      <c r="G72" s="3">
        <v>100</v>
      </c>
      <c r="H72" s="3">
        <v>1.5</v>
      </c>
      <c r="I72" s="18">
        <v>167</v>
      </c>
      <c r="J72" s="5"/>
      <c r="L72" s="5" t="s">
        <v>127</v>
      </c>
      <c r="M72" s="3">
        <v>333.68</v>
      </c>
      <c r="N72" s="5"/>
    </row>
    <row r="73" spans="1:21">
      <c r="A73" s="1" t="s">
        <v>395</v>
      </c>
      <c r="B73" s="9" t="s">
        <v>153</v>
      </c>
      <c r="C73" s="7" t="s">
        <v>195</v>
      </c>
      <c r="D73" s="4" t="s">
        <v>2</v>
      </c>
      <c r="E73" s="3">
        <v>24</v>
      </c>
      <c r="G73" s="3">
        <v>100</v>
      </c>
      <c r="H73" s="3">
        <v>1.5</v>
      </c>
      <c r="I73" s="18">
        <v>76.5</v>
      </c>
      <c r="J73" s="5" t="s">
        <v>104</v>
      </c>
      <c r="K73" s="2">
        <v>152.47999999999999</v>
      </c>
      <c r="L73" s="5" t="s">
        <v>128</v>
      </c>
      <c r="M73" s="3">
        <v>152.09</v>
      </c>
      <c r="N73" s="5" t="s">
        <v>811</v>
      </c>
      <c r="O73" s="3">
        <v>152.5</v>
      </c>
    </row>
    <row r="74" spans="1:21">
      <c r="A74" s="1" t="s">
        <v>396</v>
      </c>
      <c r="B74" s="9" t="s">
        <v>154</v>
      </c>
      <c r="C74" s="7" t="s">
        <v>195</v>
      </c>
      <c r="D74" s="4" t="s">
        <v>2</v>
      </c>
      <c r="E74" s="3">
        <v>36</v>
      </c>
      <c r="G74" s="3">
        <v>100</v>
      </c>
      <c r="H74" s="3">
        <v>1.5</v>
      </c>
      <c r="I74" s="18">
        <v>107</v>
      </c>
      <c r="J74" s="5" t="s">
        <v>105</v>
      </c>
      <c r="K74" s="2">
        <v>207.05</v>
      </c>
      <c r="L74" s="5" t="s">
        <v>129</v>
      </c>
      <c r="M74" s="2">
        <v>219.51</v>
      </c>
      <c r="N74" s="5" t="s">
        <v>812</v>
      </c>
      <c r="O74" s="2">
        <v>205</v>
      </c>
    </row>
    <row r="75" spans="1:21">
      <c r="A75" s="1" t="s">
        <v>397</v>
      </c>
      <c r="B75" s="9" t="s">
        <v>155</v>
      </c>
      <c r="C75" s="7" t="s">
        <v>195</v>
      </c>
      <c r="D75" s="4" t="s">
        <v>2</v>
      </c>
      <c r="E75" s="3">
        <v>40</v>
      </c>
      <c r="G75" s="3">
        <v>100</v>
      </c>
      <c r="H75" s="3">
        <v>1.5</v>
      </c>
      <c r="I75" s="18">
        <v>107</v>
      </c>
      <c r="J75" s="5" t="s">
        <v>690</v>
      </c>
      <c r="K75" s="2">
        <v>207.05</v>
      </c>
      <c r="L75" s="5" t="s">
        <v>739</v>
      </c>
      <c r="M75" s="2">
        <v>219.51</v>
      </c>
      <c r="N75" s="5" t="s">
        <v>813</v>
      </c>
      <c r="O75" s="2">
        <v>205</v>
      </c>
      <c r="R75" s="14" t="s">
        <v>583</v>
      </c>
      <c r="S75">
        <f>I75-3</f>
        <v>104</v>
      </c>
      <c r="T75" t="s">
        <v>583</v>
      </c>
      <c r="U75">
        <v>265</v>
      </c>
    </row>
    <row r="76" spans="1:21">
      <c r="A76" s="1" t="s">
        <v>398</v>
      </c>
      <c r="B76" s="9" t="s">
        <v>156</v>
      </c>
      <c r="C76" s="7" t="s">
        <v>195</v>
      </c>
      <c r="D76" s="4" t="s">
        <v>2</v>
      </c>
      <c r="E76" s="3">
        <v>60</v>
      </c>
      <c r="G76" s="3">
        <v>100</v>
      </c>
      <c r="H76" s="3">
        <v>1.5</v>
      </c>
      <c r="I76" s="18">
        <v>145</v>
      </c>
      <c r="J76" s="5" t="s">
        <v>106</v>
      </c>
      <c r="K76" s="2">
        <v>294.95</v>
      </c>
      <c r="M76" s="2"/>
      <c r="N76"/>
      <c r="O76" s="2"/>
      <c r="R76" s="14" t="s">
        <v>584</v>
      </c>
      <c r="S76">
        <f>I76</f>
        <v>145</v>
      </c>
      <c r="T76" t="s">
        <v>584</v>
      </c>
      <c r="U76">
        <v>350</v>
      </c>
    </row>
    <row r="77" spans="1:21">
      <c r="A77" s="1" t="s">
        <v>398</v>
      </c>
      <c r="B77" s="9" t="s">
        <v>156</v>
      </c>
      <c r="C77" s="7" t="s">
        <v>195</v>
      </c>
      <c r="D77" s="4" t="s">
        <v>2</v>
      </c>
      <c r="E77" s="3">
        <v>60</v>
      </c>
      <c r="G77" s="3">
        <v>100</v>
      </c>
      <c r="H77" s="3">
        <v>1.5</v>
      </c>
      <c r="I77" s="18">
        <v>149</v>
      </c>
      <c r="J77" s="5"/>
      <c r="K77" s="2"/>
      <c r="L77" s="5" t="s">
        <v>130</v>
      </c>
      <c r="M77" s="2">
        <v>304.18</v>
      </c>
      <c r="N77" s="5" t="s">
        <v>814</v>
      </c>
      <c r="O77" s="2">
        <v>305</v>
      </c>
    </row>
    <row r="78" spans="1:21">
      <c r="A78" s="1" t="s">
        <v>398</v>
      </c>
      <c r="B78" s="9" t="s">
        <v>156</v>
      </c>
      <c r="C78" s="7" t="s">
        <v>195</v>
      </c>
      <c r="D78" s="4" t="s">
        <v>2</v>
      </c>
      <c r="E78" s="3">
        <v>60</v>
      </c>
      <c r="F78" s="3" t="s">
        <v>339</v>
      </c>
      <c r="G78" s="3">
        <v>100</v>
      </c>
      <c r="H78" s="3">
        <v>1.5</v>
      </c>
      <c r="I78" s="18">
        <v>152</v>
      </c>
      <c r="J78" s="5" t="s">
        <v>106</v>
      </c>
      <c r="K78" s="2">
        <v>304.95</v>
      </c>
      <c r="L78" s="5" t="s">
        <v>130</v>
      </c>
      <c r="M78" s="2">
        <v>304.18</v>
      </c>
      <c r="N78" s="5" t="s">
        <v>814</v>
      </c>
      <c r="O78" s="2">
        <v>305</v>
      </c>
    </row>
    <row r="79" spans="1:21">
      <c r="A79" s="1" t="s">
        <v>398</v>
      </c>
      <c r="B79" s="9" t="s">
        <v>156</v>
      </c>
      <c r="C79" s="7" t="s">
        <v>195</v>
      </c>
      <c r="D79" s="4" t="s">
        <v>2</v>
      </c>
      <c r="E79" s="2">
        <v>60</v>
      </c>
      <c r="F79" s="3" t="s">
        <v>340</v>
      </c>
      <c r="G79" s="3">
        <v>100</v>
      </c>
      <c r="H79" s="3">
        <v>1.5</v>
      </c>
      <c r="I79" s="18">
        <v>152</v>
      </c>
      <c r="J79" s="5" t="s">
        <v>106</v>
      </c>
      <c r="K79" s="2">
        <v>304.95</v>
      </c>
      <c r="L79" s="5" t="s">
        <v>130</v>
      </c>
      <c r="M79" s="2">
        <v>304.18</v>
      </c>
      <c r="N79" s="5" t="s">
        <v>814</v>
      </c>
      <c r="O79" s="2">
        <v>305</v>
      </c>
    </row>
    <row r="80" spans="1:21">
      <c r="A80" s="1" t="s">
        <v>399</v>
      </c>
      <c r="B80" s="9" t="s">
        <v>157</v>
      </c>
      <c r="C80" s="7" t="s">
        <v>196</v>
      </c>
      <c r="D80" s="4" t="s">
        <v>7</v>
      </c>
      <c r="E80" s="3">
        <v>24</v>
      </c>
      <c r="G80" s="3">
        <v>100</v>
      </c>
      <c r="H80" s="3">
        <v>1.5</v>
      </c>
      <c r="I80" s="18">
        <v>76.5</v>
      </c>
      <c r="J80" s="5" t="s">
        <v>107</v>
      </c>
      <c r="K80" s="2">
        <v>152.47999999999999</v>
      </c>
      <c r="L80" s="5" t="s">
        <v>131</v>
      </c>
      <c r="M80" s="3">
        <v>152.09</v>
      </c>
      <c r="N80" s="5" t="s">
        <v>815</v>
      </c>
      <c r="O80" s="3">
        <v>152.5</v>
      </c>
    </row>
    <row r="81" spans="1:21">
      <c r="A81" s="1" t="s">
        <v>400</v>
      </c>
      <c r="B81" s="9" t="s">
        <v>158</v>
      </c>
      <c r="C81" s="7" t="s">
        <v>196</v>
      </c>
      <c r="D81" s="4" t="s">
        <v>7</v>
      </c>
      <c r="E81" s="3">
        <v>36</v>
      </c>
      <c r="G81" s="3">
        <v>100</v>
      </c>
      <c r="H81" s="3">
        <v>1.5</v>
      </c>
      <c r="I81" s="18">
        <v>107</v>
      </c>
      <c r="J81" s="5" t="s">
        <v>108</v>
      </c>
      <c r="K81" s="2">
        <v>207.05</v>
      </c>
      <c r="L81" s="5" t="s">
        <v>132</v>
      </c>
      <c r="M81" s="2">
        <v>219.51</v>
      </c>
      <c r="N81" s="5" t="s">
        <v>816</v>
      </c>
      <c r="O81" s="2">
        <v>205</v>
      </c>
    </row>
    <row r="82" spans="1:21">
      <c r="A82" s="1" t="s">
        <v>401</v>
      </c>
      <c r="B82" s="9" t="s">
        <v>159</v>
      </c>
      <c r="C82" s="7" t="s">
        <v>196</v>
      </c>
      <c r="D82" s="4" t="s">
        <v>7</v>
      </c>
      <c r="E82" s="3">
        <v>40</v>
      </c>
      <c r="G82" s="3">
        <v>100</v>
      </c>
      <c r="H82" s="3">
        <v>1.5</v>
      </c>
      <c r="I82" s="18">
        <v>107</v>
      </c>
      <c r="J82" s="5" t="s">
        <v>691</v>
      </c>
      <c r="K82" s="2">
        <v>207.05</v>
      </c>
      <c r="L82" s="5" t="s">
        <v>740</v>
      </c>
      <c r="M82" s="2">
        <v>219.51</v>
      </c>
      <c r="N82" s="5" t="s">
        <v>817</v>
      </c>
      <c r="O82" s="2">
        <v>205</v>
      </c>
      <c r="R82" s="14" t="s">
        <v>587</v>
      </c>
      <c r="S82">
        <f>I82-3</f>
        <v>104</v>
      </c>
      <c r="T82" t="s">
        <v>587</v>
      </c>
      <c r="U82">
        <v>265</v>
      </c>
    </row>
    <row r="83" spans="1:21">
      <c r="A83" s="1" t="s">
        <v>402</v>
      </c>
      <c r="B83" s="9" t="s">
        <v>160</v>
      </c>
      <c r="C83" s="7" t="s">
        <v>196</v>
      </c>
      <c r="D83" s="4" t="s">
        <v>7</v>
      </c>
      <c r="E83" s="3">
        <v>60</v>
      </c>
      <c r="G83" s="3">
        <v>100</v>
      </c>
      <c r="H83" s="3">
        <v>1.5</v>
      </c>
      <c r="I83" s="18">
        <v>145</v>
      </c>
      <c r="J83" s="5" t="s">
        <v>109</v>
      </c>
      <c r="K83" s="2">
        <v>294.95</v>
      </c>
      <c r="M83" s="2"/>
      <c r="N83"/>
      <c r="O83" s="2"/>
      <c r="R83" s="14" t="s">
        <v>588</v>
      </c>
      <c r="S83">
        <f>I83</f>
        <v>145</v>
      </c>
      <c r="T83" t="s">
        <v>588</v>
      </c>
      <c r="U83">
        <v>350</v>
      </c>
    </row>
    <row r="84" spans="1:21">
      <c r="A84" s="1" t="s">
        <v>402</v>
      </c>
      <c r="B84" s="9" t="s">
        <v>160</v>
      </c>
      <c r="C84" s="7" t="s">
        <v>196</v>
      </c>
      <c r="D84" s="4" t="s">
        <v>7</v>
      </c>
      <c r="E84" s="3">
        <v>60</v>
      </c>
      <c r="G84" s="3">
        <v>100</v>
      </c>
      <c r="H84" s="3">
        <v>1.5</v>
      </c>
      <c r="I84" s="18">
        <v>149</v>
      </c>
      <c r="J84" s="5"/>
      <c r="K84" s="2"/>
      <c r="L84" s="5" t="s">
        <v>133</v>
      </c>
      <c r="M84" s="2">
        <v>304.18</v>
      </c>
      <c r="N84" s="5" t="s">
        <v>818</v>
      </c>
      <c r="O84" s="2">
        <v>305</v>
      </c>
    </row>
    <row r="85" spans="1:21">
      <c r="A85" s="1" t="s">
        <v>402</v>
      </c>
      <c r="B85" s="9" t="s">
        <v>160</v>
      </c>
      <c r="C85" s="7" t="s">
        <v>196</v>
      </c>
      <c r="D85" s="4" t="s">
        <v>7</v>
      </c>
      <c r="E85" s="3">
        <v>60</v>
      </c>
      <c r="F85" s="3" t="s">
        <v>339</v>
      </c>
      <c r="G85" s="3">
        <v>100</v>
      </c>
      <c r="H85" s="3">
        <v>1.5</v>
      </c>
      <c r="I85" s="18">
        <v>152</v>
      </c>
      <c r="J85" s="5" t="s">
        <v>109</v>
      </c>
      <c r="K85" s="2">
        <v>304.95</v>
      </c>
      <c r="L85" s="5" t="s">
        <v>133</v>
      </c>
      <c r="M85" s="2">
        <v>304.18</v>
      </c>
      <c r="N85" s="5" t="s">
        <v>818</v>
      </c>
      <c r="O85" s="2">
        <v>305</v>
      </c>
    </row>
    <row r="86" spans="1:21">
      <c r="A86" s="1" t="s">
        <v>402</v>
      </c>
      <c r="B86" s="9" t="s">
        <v>160</v>
      </c>
      <c r="C86" s="7" t="s">
        <v>196</v>
      </c>
      <c r="D86" s="4" t="s">
        <v>7</v>
      </c>
      <c r="E86" s="2">
        <v>60</v>
      </c>
      <c r="F86" s="3" t="s">
        <v>340</v>
      </c>
      <c r="G86" s="3">
        <v>100</v>
      </c>
      <c r="H86" s="3">
        <v>1.5</v>
      </c>
      <c r="I86" s="18">
        <v>152</v>
      </c>
      <c r="J86" s="5" t="s">
        <v>109</v>
      </c>
      <c r="K86" s="2">
        <v>304.95</v>
      </c>
      <c r="L86" s="5" t="s">
        <v>133</v>
      </c>
      <c r="M86" s="2">
        <v>304.18</v>
      </c>
      <c r="N86" s="5" t="s">
        <v>818</v>
      </c>
      <c r="O86" s="2">
        <v>305</v>
      </c>
    </row>
    <row r="87" spans="1:21">
      <c r="A87" s="1" t="s">
        <v>403</v>
      </c>
      <c r="B87" s="9" t="s">
        <v>161</v>
      </c>
      <c r="C87" s="7" t="s">
        <v>180</v>
      </c>
      <c r="D87" s="4" t="s">
        <v>8</v>
      </c>
      <c r="E87" s="3">
        <v>24</v>
      </c>
      <c r="G87" s="3">
        <v>100</v>
      </c>
      <c r="H87" s="3">
        <v>1.5</v>
      </c>
      <c r="I87" s="18">
        <v>80.5</v>
      </c>
      <c r="J87" s="5" t="s">
        <v>110</v>
      </c>
      <c r="K87" s="2">
        <v>152.47999999999999</v>
      </c>
      <c r="L87" s="5" t="s">
        <v>134</v>
      </c>
      <c r="M87" s="3">
        <v>152.09</v>
      </c>
      <c r="N87" s="5" t="s">
        <v>819</v>
      </c>
      <c r="O87" s="3">
        <v>152.5</v>
      </c>
    </row>
    <row r="88" spans="1:21">
      <c r="A88" s="1" t="s">
        <v>404</v>
      </c>
      <c r="B88" s="9" t="s">
        <v>162</v>
      </c>
      <c r="C88" s="7" t="s">
        <v>180</v>
      </c>
      <c r="D88" s="4" t="s">
        <v>8</v>
      </c>
      <c r="E88" s="3">
        <v>36</v>
      </c>
      <c r="G88" s="3">
        <v>100</v>
      </c>
      <c r="H88" s="3">
        <v>1.5</v>
      </c>
      <c r="I88" s="18">
        <v>115</v>
      </c>
      <c r="J88" s="5" t="s">
        <v>111</v>
      </c>
      <c r="K88" s="2">
        <v>207.05</v>
      </c>
      <c r="L88" s="5" t="s">
        <v>135</v>
      </c>
      <c r="M88" s="2">
        <v>219.51</v>
      </c>
      <c r="N88" s="5" t="s">
        <v>820</v>
      </c>
      <c r="O88" s="2">
        <v>205</v>
      </c>
    </row>
    <row r="89" spans="1:21">
      <c r="A89" s="1" t="s">
        <v>405</v>
      </c>
      <c r="B89" s="9" t="s">
        <v>163</v>
      </c>
      <c r="C89" s="7" t="s">
        <v>180</v>
      </c>
      <c r="D89" s="4" t="s">
        <v>8</v>
      </c>
      <c r="E89" s="3">
        <v>40</v>
      </c>
      <c r="G89" s="3">
        <v>100</v>
      </c>
      <c r="H89" s="3">
        <v>1.5</v>
      </c>
      <c r="I89" s="18">
        <v>115</v>
      </c>
      <c r="J89" s="5" t="s">
        <v>692</v>
      </c>
      <c r="K89" s="2">
        <v>207.05</v>
      </c>
      <c r="L89" s="5" t="s">
        <v>741</v>
      </c>
      <c r="M89" s="2">
        <v>219.51</v>
      </c>
      <c r="N89" s="5" t="s">
        <v>821</v>
      </c>
      <c r="O89" s="2">
        <v>205</v>
      </c>
      <c r="R89" s="14" t="s">
        <v>589</v>
      </c>
      <c r="S89">
        <f>I89-3</f>
        <v>112</v>
      </c>
      <c r="T89" t="s">
        <v>589</v>
      </c>
      <c r="U89">
        <v>265</v>
      </c>
    </row>
    <row r="90" spans="1:21">
      <c r="A90" s="1" t="s">
        <v>406</v>
      </c>
      <c r="B90" s="9" t="s">
        <v>164</v>
      </c>
      <c r="C90" s="7" t="s">
        <v>180</v>
      </c>
      <c r="D90" s="4" t="s">
        <v>8</v>
      </c>
      <c r="E90" s="3">
        <v>60</v>
      </c>
      <c r="G90" s="3">
        <v>100</v>
      </c>
      <c r="H90" s="3">
        <v>1.5</v>
      </c>
      <c r="I90" s="18">
        <v>153</v>
      </c>
      <c r="J90" s="5" t="s">
        <v>112</v>
      </c>
      <c r="K90" s="2">
        <v>294.95</v>
      </c>
      <c r="M90" s="2"/>
      <c r="N90"/>
      <c r="O90" s="2"/>
      <c r="R90" s="14" t="s">
        <v>590</v>
      </c>
      <c r="S90">
        <f>I90</f>
        <v>153</v>
      </c>
      <c r="T90" t="s">
        <v>590</v>
      </c>
      <c r="U90">
        <v>350</v>
      </c>
    </row>
    <row r="91" spans="1:21">
      <c r="A91" s="1" t="s">
        <v>406</v>
      </c>
      <c r="B91" s="9" t="s">
        <v>164</v>
      </c>
      <c r="C91" s="7" t="s">
        <v>180</v>
      </c>
      <c r="D91" s="4" t="s">
        <v>8</v>
      </c>
      <c r="E91" s="3">
        <v>60</v>
      </c>
      <c r="G91" s="3">
        <v>100</v>
      </c>
      <c r="H91" s="3">
        <v>1.5</v>
      </c>
      <c r="I91" s="18">
        <v>157</v>
      </c>
      <c r="J91" s="5"/>
      <c r="K91" s="2"/>
      <c r="L91" s="5" t="s">
        <v>136</v>
      </c>
      <c r="M91" s="2">
        <v>304.18</v>
      </c>
      <c r="N91" s="5" t="s">
        <v>822</v>
      </c>
      <c r="O91" s="2">
        <v>305</v>
      </c>
    </row>
    <row r="92" spans="1:21">
      <c r="A92" s="1" t="s">
        <v>406</v>
      </c>
      <c r="B92" s="9" t="s">
        <v>164</v>
      </c>
      <c r="C92" s="7" t="s">
        <v>180</v>
      </c>
      <c r="D92" s="4" t="s">
        <v>8</v>
      </c>
      <c r="E92" s="3">
        <v>60</v>
      </c>
      <c r="F92" s="3" t="s">
        <v>339</v>
      </c>
      <c r="G92" s="3">
        <v>100</v>
      </c>
      <c r="H92" s="3">
        <v>1.5</v>
      </c>
      <c r="I92" s="18">
        <v>160</v>
      </c>
      <c r="J92" s="5" t="s">
        <v>112</v>
      </c>
      <c r="K92" s="2">
        <v>304.95</v>
      </c>
      <c r="L92" s="5" t="s">
        <v>136</v>
      </c>
      <c r="M92" s="2">
        <v>304.18</v>
      </c>
      <c r="N92" s="5" t="s">
        <v>822</v>
      </c>
      <c r="O92" s="2">
        <v>305</v>
      </c>
    </row>
    <row r="93" spans="1:21">
      <c r="A93" s="1" t="s">
        <v>406</v>
      </c>
      <c r="B93" s="9" t="s">
        <v>164</v>
      </c>
      <c r="C93" s="7" t="s">
        <v>180</v>
      </c>
      <c r="D93" s="4" t="s">
        <v>8</v>
      </c>
      <c r="E93" s="2">
        <v>60</v>
      </c>
      <c r="F93" s="3" t="s">
        <v>340</v>
      </c>
      <c r="G93" s="3">
        <v>100</v>
      </c>
      <c r="H93" s="3">
        <v>1.5</v>
      </c>
      <c r="I93" s="18">
        <v>160</v>
      </c>
      <c r="J93" s="5" t="s">
        <v>112</v>
      </c>
      <c r="K93" s="2">
        <v>304.95</v>
      </c>
      <c r="L93" s="5" t="s">
        <v>136</v>
      </c>
      <c r="M93" s="2">
        <v>304.18</v>
      </c>
      <c r="N93" s="5" t="s">
        <v>822</v>
      </c>
      <c r="O93" s="2">
        <v>305</v>
      </c>
    </row>
    <row r="94" spans="1:21">
      <c r="A94" s="1" t="s">
        <v>407</v>
      </c>
      <c r="B94" s="9" t="s">
        <v>165</v>
      </c>
      <c r="C94" s="7" t="s">
        <v>181</v>
      </c>
      <c r="D94" s="4" t="s">
        <v>9</v>
      </c>
      <c r="E94" s="3">
        <v>24</v>
      </c>
      <c r="G94" s="3">
        <v>100</v>
      </c>
      <c r="H94" s="3">
        <v>1.5</v>
      </c>
      <c r="I94" s="18">
        <v>82.5</v>
      </c>
      <c r="J94" s="5" t="s">
        <v>113</v>
      </c>
      <c r="K94" s="2">
        <v>152.47999999999999</v>
      </c>
      <c r="L94" s="5" t="s">
        <v>137</v>
      </c>
      <c r="M94" s="3">
        <v>152.09</v>
      </c>
      <c r="N94" s="5" t="s">
        <v>823</v>
      </c>
      <c r="O94" s="3">
        <v>152.5</v>
      </c>
    </row>
    <row r="95" spans="1:21">
      <c r="A95" s="1" t="s">
        <v>408</v>
      </c>
      <c r="B95" s="9" t="s">
        <v>166</v>
      </c>
      <c r="C95" s="7" t="s">
        <v>181</v>
      </c>
      <c r="D95" s="4" t="s">
        <v>9</v>
      </c>
      <c r="E95" s="3">
        <v>36</v>
      </c>
      <c r="G95" s="3">
        <v>100</v>
      </c>
      <c r="H95" s="3">
        <v>1.5</v>
      </c>
      <c r="I95" s="18">
        <v>116</v>
      </c>
      <c r="J95" s="5" t="s">
        <v>114</v>
      </c>
      <c r="K95" s="2">
        <v>207.05</v>
      </c>
      <c r="L95" s="5" t="s">
        <v>138</v>
      </c>
      <c r="M95" s="2">
        <v>219.51</v>
      </c>
      <c r="N95" s="5" t="s">
        <v>824</v>
      </c>
      <c r="O95" s="2">
        <v>205</v>
      </c>
    </row>
    <row r="96" spans="1:21">
      <c r="A96" s="1" t="s">
        <v>409</v>
      </c>
      <c r="B96" s="9" t="s">
        <v>167</v>
      </c>
      <c r="C96" s="7" t="s">
        <v>181</v>
      </c>
      <c r="D96" s="4" t="s">
        <v>9</v>
      </c>
      <c r="E96" s="3">
        <v>40</v>
      </c>
      <c r="G96" s="3">
        <v>100</v>
      </c>
      <c r="H96" s="3">
        <v>1.5</v>
      </c>
      <c r="I96" s="18">
        <v>116</v>
      </c>
      <c r="J96" s="5" t="s">
        <v>693</v>
      </c>
      <c r="K96" s="2">
        <v>207.05</v>
      </c>
      <c r="L96" s="5" t="s">
        <v>742</v>
      </c>
      <c r="M96" s="2">
        <v>219.51</v>
      </c>
      <c r="N96" s="5" t="s">
        <v>825</v>
      </c>
      <c r="O96" s="2">
        <v>205</v>
      </c>
      <c r="R96" s="14" t="s">
        <v>859</v>
      </c>
      <c r="S96">
        <f>I96-3</f>
        <v>113</v>
      </c>
    </row>
    <row r="97" spans="1:21">
      <c r="A97" s="1" t="s">
        <v>410</v>
      </c>
      <c r="B97" s="9" t="s">
        <v>168</v>
      </c>
      <c r="C97" s="7" t="s">
        <v>181</v>
      </c>
      <c r="D97" s="4" t="s">
        <v>9</v>
      </c>
      <c r="E97" s="3">
        <v>60</v>
      </c>
      <c r="G97" s="3">
        <v>100</v>
      </c>
      <c r="H97" s="3">
        <v>1.5</v>
      </c>
      <c r="I97" s="18">
        <v>157</v>
      </c>
      <c r="J97" s="5" t="s">
        <v>115</v>
      </c>
      <c r="K97" s="2">
        <v>294.95</v>
      </c>
      <c r="M97" s="2"/>
      <c r="N97"/>
      <c r="O97" s="2"/>
      <c r="R97" s="14" t="s">
        <v>860</v>
      </c>
      <c r="S97">
        <f>I97</f>
        <v>157</v>
      </c>
    </row>
    <row r="98" spans="1:21">
      <c r="A98" s="1" t="s">
        <v>410</v>
      </c>
      <c r="B98" s="9" t="s">
        <v>168</v>
      </c>
      <c r="C98" s="7" t="s">
        <v>181</v>
      </c>
      <c r="D98" s="4" t="s">
        <v>9</v>
      </c>
      <c r="E98" s="3">
        <v>60</v>
      </c>
      <c r="G98" s="3">
        <v>100</v>
      </c>
      <c r="H98" s="3">
        <v>1.5</v>
      </c>
      <c r="I98" s="18">
        <v>161</v>
      </c>
      <c r="J98" s="5"/>
      <c r="K98" s="2"/>
      <c r="L98" s="5" t="s">
        <v>139</v>
      </c>
      <c r="M98" s="2">
        <v>304.18</v>
      </c>
      <c r="N98" s="5" t="s">
        <v>826</v>
      </c>
      <c r="O98" s="2">
        <v>305</v>
      </c>
    </row>
    <row r="99" spans="1:21">
      <c r="A99" s="1" t="s">
        <v>410</v>
      </c>
      <c r="B99" s="9" t="s">
        <v>168</v>
      </c>
      <c r="C99" s="7" t="s">
        <v>181</v>
      </c>
      <c r="D99" s="4" t="s">
        <v>9</v>
      </c>
      <c r="E99" s="3">
        <v>60</v>
      </c>
      <c r="F99" s="3" t="s">
        <v>339</v>
      </c>
      <c r="G99" s="3">
        <v>100</v>
      </c>
      <c r="H99" s="3">
        <v>1.5</v>
      </c>
      <c r="I99" s="18">
        <v>164</v>
      </c>
      <c r="J99" s="5" t="s">
        <v>115</v>
      </c>
      <c r="K99" s="2">
        <v>304.95</v>
      </c>
      <c r="L99" s="5" t="s">
        <v>139</v>
      </c>
      <c r="M99" s="2">
        <v>304.18</v>
      </c>
      <c r="N99" s="5" t="s">
        <v>826</v>
      </c>
      <c r="O99" s="2">
        <v>305</v>
      </c>
    </row>
    <row r="100" spans="1:21">
      <c r="A100" s="1" t="s">
        <v>410</v>
      </c>
      <c r="B100" s="9" t="s">
        <v>168</v>
      </c>
      <c r="C100" s="7" t="s">
        <v>181</v>
      </c>
      <c r="D100" s="4" t="s">
        <v>9</v>
      </c>
      <c r="E100" s="2">
        <v>60</v>
      </c>
      <c r="F100" s="3" t="s">
        <v>340</v>
      </c>
      <c r="G100" s="3">
        <v>100</v>
      </c>
      <c r="H100" s="3">
        <v>1.5</v>
      </c>
      <c r="I100" s="18">
        <v>164</v>
      </c>
      <c r="J100" s="5" t="s">
        <v>115</v>
      </c>
      <c r="K100" s="2">
        <v>304.95</v>
      </c>
      <c r="L100" s="5" t="s">
        <v>139</v>
      </c>
      <c r="M100" s="2">
        <v>304.18</v>
      </c>
      <c r="N100" s="5" t="s">
        <v>826</v>
      </c>
      <c r="O100" s="2">
        <v>305</v>
      </c>
    </row>
    <row r="101" spans="1:21">
      <c r="A101" s="1" t="s">
        <v>411</v>
      </c>
      <c r="B101" s="9" t="s">
        <v>169</v>
      </c>
      <c r="C101" s="7" t="s">
        <v>183</v>
      </c>
      <c r="D101" s="4" t="s">
        <v>10</v>
      </c>
      <c r="E101" s="3">
        <v>24</v>
      </c>
      <c r="G101" s="3">
        <v>100</v>
      </c>
      <c r="H101" s="3">
        <v>1.5</v>
      </c>
      <c r="I101" s="18">
        <v>82.5</v>
      </c>
      <c r="J101" s="5" t="s">
        <v>116</v>
      </c>
      <c r="K101" s="2">
        <v>152.47999999999999</v>
      </c>
      <c r="L101" s="5" t="s">
        <v>140</v>
      </c>
      <c r="M101" s="3">
        <v>152.09</v>
      </c>
      <c r="N101" s="5" t="s">
        <v>827</v>
      </c>
      <c r="O101" s="3">
        <v>152.5</v>
      </c>
    </row>
    <row r="102" spans="1:21">
      <c r="A102" s="1" t="s">
        <v>412</v>
      </c>
      <c r="B102" s="9" t="s">
        <v>170</v>
      </c>
      <c r="C102" s="7" t="s">
        <v>183</v>
      </c>
      <c r="D102" s="4" t="s">
        <v>10</v>
      </c>
      <c r="E102" s="3">
        <v>36</v>
      </c>
      <c r="G102" s="3">
        <v>100</v>
      </c>
      <c r="H102" s="3">
        <v>1.5</v>
      </c>
      <c r="I102" s="18">
        <v>116</v>
      </c>
      <c r="J102" s="5" t="s">
        <v>117</v>
      </c>
      <c r="K102" s="2">
        <v>207.05</v>
      </c>
      <c r="L102" s="5" t="s">
        <v>141</v>
      </c>
      <c r="M102" s="2">
        <v>219.51</v>
      </c>
      <c r="N102" s="5" t="s">
        <v>828</v>
      </c>
      <c r="O102" s="2">
        <v>205</v>
      </c>
    </row>
    <row r="103" spans="1:21">
      <c r="A103" s="1" t="s">
        <v>413</v>
      </c>
      <c r="B103" s="9" t="s">
        <v>171</v>
      </c>
      <c r="C103" s="7" t="s">
        <v>183</v>
      </c>
      <c r="D103" s="4" t="s">
        <v>10</v>
      </c>
      <c r="E103" s="3">
        <v>40</v>
      </c>
      <c r="G103" s="3">
        <v>100</v>
      </c>
      <c r="H103" s="3">
        <v>1.5</v>
      </c>
      <c r="I103" s="18">
        <v>116</v>
      </c>
      <c r="J103" s="5" t="s">
        <v>694</v>
      </c>
      <c r="K103" s="2">
        <v>207.05</v>
      </c>
      <c r="L103" s="5" t="s">
        <v>743</v>
      </c>
      <c r="M103" s="2">
        <v>219.51</v>
      </c>
      <c r="N103" s="5" t="s">
        <v>829</v>
      </c>
      <c r="O103" s="2">
        <v>205</v>
      </c>
      <c r="R103" s="14" t="s">
        <v>585</v>
      </c>
      <c r="S103">
        <f>I103-3</f>
        <v>113</v>
      </c>
      <c r="T103" t="s">
        <v>585</v>
      </c>
      <c r="U103">
        <v>265</v>
      </c>
    </row>
    <row r="104" spans="1:21">
      <c r="A104" s="1" t="s">
        <v>414</v>
      </c>
      <c r="B104" s="9" t="s">
        <v>172</v>
      </c>
      <c r="C104" s="7" t="s">
        <v>183</v>
      </c>
      <c r="D104" s="4" t="s">
        <v>10</v>
      </c>
      <c r="E104" s="3">
        <v>60</v>
      </c>
      <c r="G104" s="3">
        <v>100</v>
      </c>
      <c r="H104" s="3">
        <v>1.5</v>
      </c>
      <c r="I104" s="18">
        <v>157</v>
      </c>
      <c r="J104" s="5" t="s">
        <v>118</v>
      </c>
      <c r="K104" s="2">
        <v>294.95</v>
      </c>
      <c r="M104" s="2"/>
      <c r="N104"/>
      <c r="O104" s="2"/>
      <c r="R104" s="14" t="s">
        <v>586</v>
      </c>
      <c r="S104">
        <f>I104</f>
        <v>157</v>
      </c>
      <c r="T104" t="s">
        <v>586</v>
      </c>
      <c r="U104">
        <v>350</v>
      </c>
    </row>
    <row r="105" spans="1:21">
      <c r="A105" s="1" t="s">
        <v>414</v>
      </c>
      <c r="B105" s="9" t="s">
        <v>172</v>
      </c>
      <c r="C105" s="7" t="s">
        <v>183</v>
      </c>
      <c r="D105" s="4" t="s">
        <v>10</v>
      </c>
      <c r="E105" s="3">
        <v>60</v>
      </c>
      <c r="G105" s="3">
        <v>100</v>
      </c>
      <c r="H105" s="3">
        <v>1.5</v>
      </c>
      <c r="I105" s="18">
        <v>161</v>
      </c>
      <c r="J105" s="5"/>
      <c r="K105" s="2"/>
      <c r="L105" s="5" t="s">
        <v>142</v>
      </c>
      <c r="M105" s="2">
        <v>304.18</v>
      </c>
      <c r="N105" s="5" t="s">
        <v>830</v>
      </c>
      <c r="O105" s="2">
        <v>305</v>
      </c>
    </row>
    <row r="106" spans="1:21">
      <c r="A106" s="1" t="s">
        <v>414</v>
      </c>
      <c r="B106" s="9" t="s">
        <v>172</v>
      </c>
      <c r="C106" s="7" t="s">
        <v>183</v>
      </c>
      <c r="D106" s="4" t="s">
        <v>10</v>
      </c>
      <c r="E106" s="3">
        <v>60</v>
      </c>
      <c r="F106" s="3" t="s">
        <v>339</v>
      </c>
      <c r="G106" s="3">
        <v>100</v>
      </c>
      <c r="H106" s="3">
        <v>1.5</v>
      </c>
      <c r="I106" s="18">
        <v>164</v>
      </c>
      <c r="J106" s="5" t="s">
        <v>118</v>
      </c>
      <c r="K106" s="2">
        <v>304.95</v>
      </c>
      <c r="L106" s="5" t="s">
        <v>142</v>
      </c>
      <c r="M106" s="2">
        <v>304.18</v>
      </c>
      <c r="N106" s="5" t="s">
        <v>830</v>
      </c>
      <c r="O106" s="2">
        <v>305</v>
      </c>
    </row>
    <row r="107" spans="1:21">
      <c r="A107" s="1" t="s">
        <v>414</v>
      </c>
      <c r="B107" s="9" t="s">
        <v>172</v>
      </c>
      <c r="C107" s="7" t="s">
        <v>183</v>
      </c>
      <c r="D107" s="4" t="s">
        <v>10</v>
      </c>
      <c r="E107" s="2">
        <v>60</v>
      </c>
      <c r="F107" s="3" t="s">
        <v>340</v>
      </c>
      <c r="G107" s="3">
        <v>100</v>
      </c>
      <c r="H107" s="3">
        <v>1.5</v>
      </c>
      <c r="I107" s="18">
        <v>164</v>
      </c>
      <c r="J107" s="5" t="s">
        <v>118</v>
      </c>
      <c r="K107" s="2">
        <v>304.95</v>
      </c>
      <c r="L107" s="5" t="s">
        <v>142</v>
      </c>
      <c r="M107" s="2">
        <v>304.18</v>
      </c>
      <c r="N107" s="5" t="s">
        <v>830</v>
      </c>
      <c r="O107" s="2">
        <v>305</v>
      </c>
    </row>
    <row r="108" spans="1:21">
      <c r="A108" s="1" t="s">
        <v>415</v>
      </c>
      <c r="B108" s="9" t="s">
        <v>173</v>
      </c>
      <c r="C108" s="7" t="s">
        <v>182</v>
      </c>
      <c r="D108" s="4" t="s">
        <v>11</v>
      </c>
      <c r="E108" s="3">
        <v>24</v>
      </c>
      <c r="G108" s="3">
        <v>100</v>
      </c>
      <c r="H108" s="3">
        <v>1.5</v>
      </c>
      <c r="I108" s="18">
        <v>82</v>
      </c>
      <c r="J108" s="5" t="s">
        <v>119</v>
      </c>
      <c r="K108" s="2">
        <v>152.47999999999999</v>
      </c>
      <c r="L108" s="5" t="s">
        <v>143</v>
      </c>
      <c r="M108" s="3">
        <v>152.09</v>
      </c>
      <c r="N108" s="5" t="s">
        <v>831</v>
      </c>
      <c r="O108" s="3">
        <v>152.5</v>
      </c>
    </row>
    <row r="109" spans="1:21">
      <c r="A109" s="1" t="s">
        <v>416</v>
      </c>
      <c r="B109" s="9" t="s">
        <v>174</v>
      </c>
      <c r="C109" s="7" t="s">
        <v>182</v>
      </c>
      <c r="D109" s="4" t="s">
        <v>11</v>
      </c>
      <c r="E109" s="3">
        <v>36</v>
      </c>
      <c r="G109" s="3">
        <v>100</v>
      </c>
      <c r="H109" s="3">
        <v>1.5</v>
      </c>
      <c r="I109" s="18">
        <v>116</v>
      </c>
      <c r="J109" s="5" t="s">
        <v>120</v>
      </c>
      <c r="K109" s="2">
        <v>207.05</v>
      </c>
      <c r="L109" s="5" t="s">
        <v>144</v>
      </c>
      <c r="M109" s="2">
        <v>219.51</v>
      </c>
      <c r="N109" s="5" t="s">
        <v>832</v>
      </c>
      <c r="O109" s="2">
        <v>205</v>
      </c>
    </row>
    <row r="110" spans="1:21">
      <c r="A110" s="1" t="s">
        <v>417</v>
      </c>
      <c r="B110" s="9" t="s">
        <v>175</v>
      </c>
      <c r="C110" s="7" t="s">
        <v>182</v>
      </c>
      <c r="D110" s="4" t="s">
        <v>11</v>
      </c>
      <c r="E110" s="3">
        <v>40</v>
      </c>
      <c r="G110" s="3">
        <v>100</v>
      </c>
      <c r="H110" s="3">
        <v>1.5</v>
      </c>
      <c r="I110" s="18">
        <v>116</v>
      </c>
      <c r="J110" s="5" t="s">
        <v>695</v>
      </c>
      <c r="K110" s="2">
        <v>207.05</v>
      </c>
      <c r="L110" s="5" t="s">
        <v>744</v>
      </c>
      <c r="M110" s="2">
        <v>219.51</v>
      </c>
      <c r="N110" s="5" t="s">
        <v>833</v>
      </c>
      <c r="O110" s="2">
        <v>205</v>
      </c>
      <c r="R110" s="14" t="s">
        <v>595</v>
      </c>
      <c r="S110">
        <f>I110-3</f>
        <v>113</v>
      </c>
      <c r="T110" t="s">
        <v>595</v>
      </c>
      <c r="U110">
        <v>265</v>
      </c>
    </row>
    <row r="111" spans="1:21">
      <c r="A111" s="1" t="s">
        <v>418</v>
      </c>
      <c r="B111" s="9" t="s">
        <v>176</v>
      </c>
      <c r="C111" s="7" t="s">
        <v>182</v>
      </c>
      <c r="D111" s="4" t="s">
        <v>11</v>
      </c>
      <c r="E111" s="3">
        <v>60</v>
      </c>
      <c r="G111" s="3">
        <v>100</v>
      </c>
      <c r="H111" s="3">
        <v>1.5</v>
      </c>
      <c r="I111" s="18">
        <v>157</v>
      </c>
      <c r="J111" s="5" t="s">
        <v>121</v>
      </c>
      <c r="K111" s="2">
        <v>294.95</v>
      </c>
      <c r="M111" s="2"/>
      <c r="N111"/>
      <c r="O111" s="2"/>
      <c r="R111" s="14" t="s">
        <v>596</v>
      </c>
      <c r="S111">
        <f>I111</f>
        <v>157</v>
      </c>
      <c r="T111" t="s">
        <v>596</v>
      </c>
      <c r="U111">
        <v>350</v>
      </c>
    </row>
    <row r="112" spans="1:21">
      <c r="A112" s="1" t="s">
        <v>418</v>
      </c>
      <c r="B112" s="9" t="s">
        <v>176</v>
      </c>
      <c r="C112" s="7" t="s">
        <v>182</v>
      </c>
      <c r="D112" s="4" t="s">
        <v>11</v>
      </c>
      <c r="E112" s="3">
        <v>60</v>
      </c>
      <c r="G112" s="3">
        <v>100</v>
      </c>
      <c r="H112" s="3">
        <v>1.5</v>
      </c>
      <c r="I112" s="18">
        <v>161</v>
      </c>
      <c r="J112" s="5"/>
      <c r="K112" s="2"/>
      <c r="L112" s="5" t="s">
        <v>145</v>
      </c>
      <c r="M112" s="2">
        <v>304.18</v>
      </c>
      <c r="N112" s="5" t="s">
        <v>834</v>
      </c>
      <c r="O112" s="2">
        <v>305</v>
      </c>
    </row>
    <row r="113" spans="1:21">
      <c r="A113" s="1" t="s">
        <v>418</v>
      </c>
      <c r="B113" s="9" t="s">
        <v>176</v>
      </c>
      <c r="C113" s="7" t="s">
        <v>182</v>
      </c>
      <c r="D113" s="4" t="s">
        <v>11</v>
      </c>
      <c r="E113" s="3">
        <v>60</v>
      </c>
      <c r="F113" s="3" t="s">
        <v>339</v>
      </c>
      <c r="G113" s="3">
        <v>100</v>
      </c>
      <c r="H113" s="3">
        <v>1.5</v>
      </c>
      <c r="I113" s="18">
        <v>164</v>
      </c>
      <c r="J113" s="5" t="s">
        <v>121</v>
      </c>
      <c r="K113" s="2">
        <v>304.95</v>
      </c>
      <c r="L113" s="5" t="s">
        <v>145</v>
      </c>
      <c r="M113" s="2">
        <v>304.18</v>
      </c>
      <c r="N113" s="5" t="s">
        <v>834</v>
      </c>
      <c r="O113" s="2">
        <v>305</v>
      </c>
    </row>
    <row r="114" spans="1:21">
      <c r="A114" s="1" t="s">
        <v>418</v>
      </c>
      <c r="B114" s="9" t="s">
        <v>176</v>
      </c>
      <c r="C114" s="7" t="s">
        <v>182</v>
      </c>
      <c r="D114" s="4" t="s">
        <v>11</v>
      </c>
      <c r="E114" s="2">
        <v>60</v>
      </c>
      <c r="F114" s="3" t="s">
        <v>340</v>
      </c>
      <c r="G114" s="3">
        <v>100</v>
      </c>
      <c r="H114" s="3">
        <v>1.5</v>
      </c>
      <c r="I114" s="18">
        <v>164</v>
      </c>
      <c r="J114" s="5" t="s">
        <v>121</v>
      </c>
      <c r="K114" s="2">
        <v>304.95</v>
      </c>
      <c r="L114" s="5" t="s">
        <v>145</v>
      </c>
      <c r="M114" s="2">
        <v>304.18</v>
      </c>
      <c r="N114" s="5" t="s">
        <v>834</v>
      </c>
      <c r="O114" s="2">
        <v>305</v>
      </c>
    </row>
    <row r="115" spans="1:21">
      <c r="A115" s="1" t="s">
        <v>419</v>
      </c>
      <c r="B115" s="9" t="s">
        <v>186</v>
      </c>
      <c r="C115" s="7" t="s">
        <v>184</v>
      </c>
      <c r="D115" s="4" t="s">
        <v>12</v>
      </c>
      <c r="E115" s="3">
        <v>24</v>
      </c>
      <c r="G115" s="3">
        <v>100</v>
      </c>
      <c r="H115" s="3">
        <v>1.5</v>
      </c>
      <c r="I115" s="18">
        <v>86</v>
      </c>
      <c r="J115" s="5" t="s">
        <v>122</v>
      </c>
      <c r="K115" s="2">
        <v>152.47999999999999</v>
      </c>
      <c r="L115" s="5" t="s">
        <v>146</v>
      </c>
      <c r="M115" s="3">
        <v>152.09</v>
      </c>
      <c r="N115" s="5" t="s">
        <v>835</v>
      </c>
      <c r="O115" s="3">
        <v>152.5</v>
      </c>
    </row>
    <row r="116" spans="1:21">
      <c r="A116" s="1" t="s">
        <v>420</v>
      </c>
      <c r="B116" s="9" t="s">
        <v>188</v>
      </c>
      <c r="C116" s="7" t="s">
        <v>184</v>
      </c>
      <c r="D116" s="4" t="s">
        <v>12</v>
      </c>
      <c r="E116" s="3">
        <v>36</v>
      </c>
      <c r="G116" s="3">
        <v>100</v>
      </c>
      <c r="H116" s="3">
        <v>1.5</v>
      </c>
      <c r="I116" s="18">
        <v>121</v>
      </c>
      <c r="J116" s="5" t="s">
        <v>123</v>
      </c>
      <c r="K116" s="2">
        <v>207.05</v>
      </c>
      <c r="L116" s="5" t="s">
        <v>147</v>
      </c>
      <c r="M116" s="2">
        <v>219.51</v>
      </c>
      <c r="N116" s="5" t="s">
        <v>836</v>
      </c>
      <c r="O116" s="2">
        <v>205</v>
      </c>
    </row>
    <row r="117" spans="1:21">
      <c r="A117" s="1" t="s">
        <v>421</v>
      </c>
      <c r="B117" s="9" t="s">
        <v>190</v>
      </c>
      <c r="C117" s="7" t="s">
        <v>184</v>
      </c>
      <c r="D117" s="4" t="s">
        <v>12</v>
      </c>
      <c r="E117" s="3">
        <v>40</v>
      </c>
      <c r="G117" s="3">
        <v>100</v>
      </c>
      <c r="H117" s="3">
        <v>1.5</v>
      </c>
      <c r="I117" s="18">
        <v>121</v>
      </c>
      <c r="J117" s="5" t="s">
        <v>696</v>
      </c>
      <c r="K117" s="2">
        <v>207.05</v>
      </c>
      <c r="L117" s="5" t="s">
        <v>745</v>
      </c>
      <c r="M117" s="2">
        <v>219.51</v>
      </c>
      <c r="N117" s="5" t="s">
        <v>837</v>
      </c>
      <c r="O117" s="2">
        <v>205</v>
      </c>
      <c r="R117" s="14" t="s">
        <v>593</v>
      </c>
      <c r="S117">
        <f>I117-3</f>
        <v>118</v>
      </c>
      <c r="T117" t="s">
        <v>593</v>
      </c>
      <c r="U117">
        <v>265</v>
      </c>
    </row>
    <row r="118" spans="1:21">
      <c r="A118" s="1" t="s">
        <v>422</v>
      </c>
      <c r="B118" s="9" t="s">
        <v>192</v>
      </c>
      <c r="C118" s="7" t="s">
        <v>184</v>
      </c>
      <c r="D118" s="4" t="s">
        <v>12</v>
      </c>
      <c r="E118" s="3">
        <v>60</v>
      </c>
      <c r="G118" s="3">
        <v>100</v>
      </c>
      <c r="H118" s="3">
        <v>1.5</v>
      </c>
      <c r="I118" s="18">
        <v>165</v>
      </c>
      <c r="J118" s="5" t="s">
        <v>124</v>
      </c>
      <c r="K118" s="2">
        <v>294.95</v>
      </c>
      <c r="M118" s="2"/>
      <c r="N118"/>
      <c r="O118" s="2"/>
      <c r="R118" s="14" t="s">
        <v>594</v>
      </c>
      <c r="S118">
        <f>I118</f>
        <v>165</v>
      </c>
      <c r="T118" t="s">
        <v>594</v>
      </c>
      <c r="U118">
        <v>350</v>
      </c>
    </row>
    <row r="119" spans="1:21">
      <c r="A119" s="1" t="s">
        <v>422</v>
      </c>
      <c r="B119" s="9" t="s">
        <v>192</v>
      </c>
      <c r="C119" s="7" t="s">
        <v>184</v>
      </c>
      <c r="D119" s="4" t="s">
        <v>12</v>
      </c>
      <c r="E119" s="3">
        <v>60</v>
      </c>
      <c r="G119" s="3">
        <v>100</v>
      </c>
      <c r="H119" s="3">
        <v>1.5</v>
      </c>
      <c r="I119" s="18">
        <v>169</v>
      </c>
      <c r="J119" s="5"/>
      <c r="K119" s="2"/>
      <c r="L119" s="5" t="s">
        <v>148</v>
      </c>
      <c r="M119" s="2">
        <v>304.18</v>
      </c>
      <c r="N119" s="5" t="s">
        <v>838</v>
      </c>
      <c r="O119" s="2">
        <v>305</v>
      </c>
    </row>
    <row r="120" spans="1:21">
      <c r="A120" s="1" t="s">
        <v>422</v>
      </c>
      <c r="B120" s="9" t="s">
        <v>192</v>
      </c>
      <c r="C120" s="7" t="s">
        <v>184</v>
      </c>
      <c r="D120" s="4" t="s">
        <v>12</v>
      </c>
      <c r="E120" s="3">
        <v>60</v>
      </c>
      <c r="F120" s="3" t="s">
        <v>339</v>
      </c>
      <c r="G120" s="3">
        <v>100</v>
      </c>
      <c r="H120" s="3">
        <v>1.5</v>
      </c>
      <c r="I120" s="18">
        <v>172</v>
      </c>
      <c r="J120" s="5" t="s">
        <v>124</v>
      </c>
      <c r="K120" s="2">
        <v>304.95</v>
      </c>
      <c r="L120" s="5" t="s">
        <v>148</v>
      </c>
      <c r="M120" s="2">
        <v>304.18</v>
      </c>
      <c r="N120" s="5" t="s">
        <v>838</v>
      </c>
      <c r="O120" s="2">
        <v>305</v>
      </c>
    </row>
    <row r="121" spans="1:21">
      <c r="A121" s="1" t="s">
        <v>422</v>
      </c>
      <c r="B121" s="9" t="s">
        <v>192</v>
      </c>
      <c r="C121" s="7" t="s">
        <v>184</v>
      </c>
      <c r="D121" s="4" t="s">
        <v>12</v>
      </c>
      <c r="E121" s="2">
        <v>60</v>
      </c>
      <c r="F121" s="3" t="s">
        <v>340</v>
      </c>
      <c r="G121" s="3">
        <v>100</v>
      </c>
      <c r="H121" s="3">
        <v>1.5</v>
      </c>
      <c r="I121" s="18">
        <v>172</v>
      </c>
      <c r="J121" s="5" t="s">
        <v>124</v>
      </c>
      <c r="K121" s="2">
        <v>304.95</v>
      </c>
      <c r="L121" s="5" t="s">
        <v>148</v>
      </c>
      <c r="M121" s="2">
        <v>304.18</v>
      </c>
      <c r="N121" s="5" t="s">
        <v>838</v>
      </c>
      <c r="O121" s="2">
        <v>305</v>
      </c>
    </row>
    <row r="122" spans="1:21">
      <c r="A122" s="1" t="s">
        <v>423</v>
      </c>
      <c r="B122" s="9" t="s">
        <v>187</v>
      </c>
      <c r="C122" s="7" t="s">
        <v>185</v>
      </c>
      <c r="D122" s="4">
        <v>70</v>
      </c>
      <c r="E122" s="3">
        <v>24</v>
      </c>
      <c r="G122" s="3">
        <v>100</v>
      </c>
      <c r="H122" s="3">
        <v>1.5</v>
      </c>
      <c r="I122" s="18">
        <v>89</v>
      </c>
      <c r="J122" s="5" t="s">
        <v>197</v>
      </c>
      <c r="K122" s="2">
        <f>326.35/2</f>
        <v>163.17500000000001</v>
      </c>
      <c r="L122" s="5" t="s">
        <v>177</v>
      </c>
      <c r="M122" s="3">
        <v>162.03</v>
      </c>
      <c r="N122" s="5" t="s">
        <v>839</v>
      </c>
      <c r="O122" s="3">
        <v>160</v>
      </c>
    </row>
    <row r="123" spans="1:21">
      <c r="A123" s="1" t="s">
        <v>424</v>
      </c>
      <c r="B123" s="9" t="s">
        <v>189</v>
      </c>
      <c r="C123" s="7" t="s">
        <v>185</v>
      </c>
      <c r="D123" s="4">
        <v>70</v>
      </c>
      <c r="E123" s="3">
        <v>36</v>
      </c>
      <c r="G123" s="3">
        <v>100</v>
      </c>
      <c r="H123" s="3">
        <v>1.5</v>
      </c>
      <c r="I123" s="18">
        <v>123</v>
      </c>
      <c r="J123" s="5" t="s">
        <v>198</v>
      </c>
      <c r="K123" s="2">
        <v>223.1</v>
      </c>
      <c r="L123" s="5" t="s">
        <v>178</v>
      </c>
      <c r="M123" s="2">
        <v>235.2</v>
      </c>
      <c r="N123" s="5" t="s">
        <v>840</v>
      </c>
      <c r="O123" s="2">
        <v>220</v>
      </c>
    </row>
    <row r="124" spans="1:21">
      <c r="A124" s="1" t="s">
        <v>425</v>
      </c>
      <c r="B124" s="9" t="s">
        <v>191</v>
      </c>
      <c r="C124" s="7" t="s">
        <v>185</v>
      </c>
      <c r="D124" s="4">
        <v>70</v>
      </c>
      <c r="E124" s="3">
        <v>40</v>
      </c>
      <c r="G124" s="3">
        <v>100</v>
      </c>
      <c r="H124" s="3">
        <v>1.5</v>
      </c>
      <c r="I124" s="18">
        <v>123</v>
      </c>
      <c r="J124" s="5" t="s">
        <v>697</v>
      </c>
      <c r="K124" s="2">
        <v>223.1</v>
      </c>
      <c r="L124" s="5" t="s">
        <v>746</v>
      </c>
      <c r="M124" s="2">
        <v>235.2</v>
      </c>
      <c r="N124" s="5" t="s">
        <v>841</v>
      </c>
      <c r="O124" s="2">
        <v>220</v>
      </c>
      <c r="R124" s="14" t="s">
        <v>591</v>
      </c>
      <c r="S124">
        <f>I124-3</f>
        <v>120</v>
      </c>
      <c r="T124" t="s">
        <v>591</v>
      </c>
      <c r="U124">
        <v>290</v>
      </c>
    </row>
    <row r="125" spans="1:21">
      <c r="A125" s="1" t="s">
        <v>426</v>
      </c>
      <c r="B125" s="9" t="s">
        <v>193</v>
      </c>
      <c r="C125" s="7" t="s">
        <v>185</v>
      </c>
      <c r="D125" s="4">
        <v>70</v>
      </c>
      <c r="E125" s="3">
        <v>60</v>
      </c>
      <c r="G125" s="3">
        <v>100</v>
      </c>
      <c r="H125" s="3">
        <v>1.5</v>
      </c>
      <c r="I125" s="18">
        <v>171</v>
      </c>
      <c r="J125" s="5" t="s">
        <v>199</v>
      </c>
      <c r="K125" s="2">
        <v>316.35000000000002</v>
      </c>
      <c r="M125" s="2"/>
      <c r="N125" s="2"/>
      <c r="O125" s="2"/>
      <c r="R125" s="14" t="s">
        <v>592</v>
      </c>
      <c r="S125">
        <f>I125</f>
        <v>171</v>
      </c>
      <c r="T125" t="s">
        <v>592</v>
      </c>
      <c r="U125">
        <v>390</v>
      </c>
    </row>
    <row r="126" spans="1:21">
      <c r="A126" s="1" t="s">
        <v>426</v>
      </c>
      <c r="B126" s="9" t="s">
        <v>193</v>
      </c>
      <c r="C126" s="7" t="s">
        <v>185</v>
      </c>
      <c r="D126" s="4">
        <v>70</v>
      </c>
      <c r="E126" s="3">
        <v>60</v>
      </c>
      <c r="G126" s="3">
        <v>100</v>
      </c>
      <c r="H126" s="3">
        <v>1.5</v>
      </c>
      <c r="I126" s="18">
        <v>175</v>
      </c>
      <c r="J126" s="5"/>
      <c r="K126" s="2"/>
      <c r="L126" s="5" t="s">
        <v>179</v>
      </c>
      <c r="M126" s="2">
        <v>324.05</v>
      </c>
      <c r="N126" s="5" t="s">
        <v>842</v>
      </c>
      <c r="O126" s="2">
        <v>320</v>
      </c>
    </row>
    <row r="127" spans="1:21">
      <c r="A127" s="1" t="s">
        <v>426</v>
      </c>
      <c r="B127" s="9" t="s">
        <v>193</v>
      </c>
      <c r="C127" s="7" t="s">
        <v>185</v>
      </c>
      <c r="D127" s="4">
        <v>70</v>
      </c>
      <c r="E127" s="3">
        <v>60</v>
      </c>
      <c r="F127" s="3" t="s">
        <v>339</v>
      </c>
      <c r="G127" s="3">
        <v>100</v>
      </c>
      <c r="H127" s="3">
        <v>1.5</v>
      </c>
      <c r="I127" s="18">
        <v>178</v>
      </c>
      <c r="J127" s="5" t="s">
        <v>199</v>
      </c>
      <c r="K127" s="2">
        <v>326.35000000000002</v>
      </c>
      <c r="L127" s="5" t="s">
        <v>179</v>
      </c>
      <c r="M127" s="2">
        <v>324.05</v>
      </c>
      <c r="N127" s="5" t="s">
        <v>842</v>
      </c>
      <c r="O127" s="2">
        <v>320</v>
      </c>
    </row>
    <row r="128" spans="1:21">
      <c r="A128" s="1" t="s">
        <v>426</v>
      </c>
      <c r="B128" s="9" t="s">
        <v>193</v>
      </c>
      <c r="C128" s="7" t="s">
        <v>185</v>
      </c>
      <c r="D128" s="4">
        <v>70</v>
      </c>
      <c r="E128" s="2">
        <v>60</v>
      </c>
      <c r="F128" s="3" t="s">
        <v>340</v>
      </c>
      <c r="G128" s="3">
        <v>100</v>
      </c>
      <c r="H128" s="3">
        <v>1.5</v>
      </c>
      <c r="I128" s="18">
        <v>178</v>
      </c>
      <c r="J128" s="5" t="s">
        <v>199</v>
      </c>
      <c r="K128" s="2">
        <v>326.35000000000002</v>
      </c>
      <c r="L128" s="5" t="s">
        <v>179</v>
      </c>
      <c r="M128" s="2">
        <v>324.05</v>
      </c>
      <c r="N128" s="5" t="s">
        <v>842</v>
      </c>
      <c r="O128" s="2">
        <v>320</v>
      </c>
    </row>
    <row r="129" spans="1:21">
      <c r="A129" s="5" t="s">
        <v>542</v>
      </c>
      <c r="B129" s="7" t="s">
        <v>514</v>
      </c>
      <c r="C129" s="7" t="s">
        <v>489</v>
      </c>
      <c r="D129" s="4" t="s">
        <v>2</v>
      </c>
      <c r="E129" s="3">
        <v>24</v>
      </c>
      <c r="G129" s="3">
        <v>100</v>
      </c>
      <c r="H129" s="3">
        <v>1.5</v>
      </c>
      <c r="I129" s="2">
        <v>121</v>
      </c>
      <c r="J129" s="5"/>
      <c r="K129" s="2"/>
      <c r="L129" s="6" t="s">
        <v>747</v>
      </c>
      <c r="M129" s="2">
        <v>235.46</v>
      </c>
      <c r="N129" s="2"/>
      <c r="O129" s="2"/>
    </row>
    <row r="130" spans="1:21">
      <c r="A130" s="5" t="s">
        <v>543</v>
      </c>
      <c r="B130" s="7" t="s">
        <v>515</v>
      </c>
      <c r="C130" s="7" t="s">
        <v>489</v>
      </c>
      <c r="D130" s="4" t="s">
        <v>2</v>
      </c>
      <c r="E130" s="3">
        <v>36</v>
      </c>
      <c r="G130" s="3">
        <v>100</v>
      </c>
      <c r="H130" s="3">
        <v>1.5</v>
      </c>
      <c r="I130" s="2">
        <v>171</v>
      </c>
      <c r="J130" s="5"/>
      <c r="K130" s="2"/>
      <c r="L130" s="6" t="s">
        <v>748</v>
      </c>
      <c r="M130" s="2">
        <v>333.2</v>
      </c>
      <c r="N130" s="2"/>
      <c r="O130" s="2"/>
    </row>
    <row r="131" spans="1:21">
      <c r="A131" s="5" t="s">
        <v>544</v>
      </c>
      <c r="B131" s="7" t="s">
        <v>516</v>
      </c>
      <c r="C131" s="7" t="s">
        <v>489</v>
      </c>
      <c r="D131" s="4" t="s">
        <v>2</v>
      </c>
      <c r="E131" s="3">
        <v>40</v>
      </c>
      <c r="G131" s="3">
        <v>100</v>
      </c>
      <c r="H131" s="3">
        <v>1.5</v>
      </c>
      <c r="I131" s="2">
        <v>171</v>
      </c>
      <c r="J131" s="5"/>
      <c r="K131" s="2"/>
      <c r="L131" s="6" t="s">
        <v>749</v>
      </c>
      <c r="M131" s="2">
        <v>333.2</v>
      </c>
      <c r="N131" s="2"/>
      <c r="O131" s="2"/>
      <c r="R131" s="5" t="s">
        <v>597</v>
      </c>
      <c r="S131">
        <f>I131-3</f>
        <v>168</v>
      </c>
      <c r="T131" t="s">
        <v>597</v>
      </c>
      <c r="U131">
        <v>400</v>
      </c>
    </row>
    <row r="132" spans="1:21">
      <c r="A132" s="5" t="s">
        <v>545</v>
      </c>
      <c r="B132" s="7" t="s">
        <v>517</v>
      </c>
      <c r="C132" s="7" t="s">
        <v>489</v>
      </c>
      <c r="D132" s="4" t="s">
        <v>2</v>
      </c>
      <c r="E132" s="3">
        <v>60</v>
      </c>
      <c r="G132" s="3">
        <v>100</v>
      </c>
      <c r="H132" s="3">
        <v>1.5</v>
      </c>
      <c r="I132" s="2">
        <v>239</v>
      </c>
      <c r="J132" s="5"/>
      <c r="K132" s="2"/>
      <c r="L132" s="6" t="s">
        <v>750</v>
      </c>
      <c r="M132" s="2">
        <v>470.91</v>
      </c>
      <c r="N132" s="2"/>
      <c r="O132" s="2"/>
      <c r="R132" s="5" t="s">
        <v>598</v>
      </c>
      <c r="S132">
        <f>I132-4</f>
        <v>235</v>
      </c>
      <c r="T132" t="s">
        <v>598</v>
      </c>
      <c r="U132">
        <v>580</v>
      </c>
    </row>
    <row r="133" spans="1:21">
      <c r="A133" s="5" t="s">
        <v>545</v>
      </c>
      <c r="B133" s="7" t="s">
        <v>517</v>
      </c>
      <c r="C133" s="7" t="s">
        <v>489</v>
      </c>
      <c r="D133" s="4" t="s">
        <v>2</v>
      </c>
      <c r="E133" s="3">
        <v>60</v>
      </c>
      <c r="F133" s="3" t="s">
        <v>339</v>
      </c>
      <c r="G133" s="3">
        <v>100</v>
      </c>
      <c r="H133" s="3">
        <v>1.5</v>
      </c>
      <c r="I133" s="2">
        <v>242</v>
      </c>
      <c r="J133" s="5"/>
      <c r="K133" s="2"/>
      <c r="L133" s="6" t="s">
        <v>750</v>
      </c>
      <c r="M133" s="2">
        <v>470.91</v>
      </c>
      <c r="N133" s="2"/>
      <c r="O133" s="2"/>
    </row>
    <row r="134" spans="1:21">
      <c r="A134" s="5" t="s">
        <v>545</v>
      </c>
      <c r="B134" s="7" t="s">
        <v>517</v>
      </c>
      <c r="C134" s="7" t="s">
        <v>489</v>
      </c>
      <c r="D134" s="4" t="s">
        <v>2</v>
      </c>
      <c r="E134" s="2">
        <v>60</v>
      </c>
      <c r="F134" s="3" t="s">
        <v>340</v>
      </c>
      <c r="G134" s="3">
        <v>100</v>
      </c>
      <c r="H134" s="3">
        <v>1.5</v>
      </c>
      <c r="I134" s="2">
        <v>242</v>
      </c>
      <c r="J134" s="5"/>
      <c r="K134" s="2"/>
      <c r="L134" s="6" t="s">
        <v>750</v>
      </c>
      <c r="M134" s="2">
        <v>470.91</v>
      </c>
      <c r="N134" s="5"/>
      <c r="O134" s="2"/>
    </row>
    <row r="135" spans="1:21">
      <c r="A135" s="5" t="s">
        <v>546</v>
      </c>
      <c r="B135" s="7" t="s">
        <v>518</v>
      </c>
      <c r="C135" s="7" t="s">
        <v>490</v>
      </c>
      <c r="D135" s="4">
        <v>15</v>
      </c>
      <c r="E135" s="3">
        <v>24</v>
      </c>
      <c r="G135" s="3">
        <v>100</v>
      </c>
      <c r="H135" s="3">
        <v>1.5</v>
      </c>
      <c r="I135" s="2">
        <v>121</v>
      </c>
      <c r="L135" s="6" t="s">
        <v>751</v>
      </c>
      <c r="M135" s="2">
        <v>235.46</v>
      </c>
      <c r="N135" s="5"/>
      <c r="O135" s="2"/>
    </row>
    <row r="136" spans="1:21">
      <c r="A136" s="5" t="s">
        <v>547</v>
      </c>
      <c r="B136" s="7" t="s">
        <v>519</v>
      </c>
      <c r="C136" s="7" t="s">
        <v>490</v>
      </c>
      <c r="D136" s="4">
        <v>15</v>
      </c>
      <c r="E136" s="3">
        <v>36</v>
      </c>
      <c r="G136" s="3">
        <v>100</v>
      </c>
      <c r="H136" s="3">
        <v>1.5</v>
      </c>
      <c r="I136" s="2">
        <v>171</v>
      </c>
      <c r="L136" s="6" t="s">
        <v>752</v>
      </c>
      <c r="M136" s="2">
        <v>333.2</v>
      </c>
      <c r="N136" s="5"/>
      <c r="O136" s="2"/>
    </row>
    <row r="137" spans="1:21">
      <c r="A137" s="5" t="s">
        <v>548</v>
      </c>
      <c r="B137" s="7" t="s">
        <v>520</v>
      </c>
      <c r="C137" s="7" t="s">
        <v>490</v>
      </c>
      <c r="D137" s="4">
        <v>15</v>
      </c>
      <c r="E137" s="3">
        <v>40</v>
      </c>
      <c r="G137" s="3">
        <v>100</v>
      </c>
      <c r="H137" s="3">
        <v>1.5</v>
      </c>
      <c r="I137" s="2">
        <v>171</v>
      </c>
      <c r="L137" s="6" t="s">
        <v>753</v>
      </c>
      <c r="M137" s="2">
        <v>333.2</v>
      </c>
      <c r="N137"/>
      <c r="O137" s="2"/>
      <c r="R137" s="5" t="s">
        <v>630</v>
      </c>
      <c r="S137">
        <f>I137-3</f>
        <v>168</v>
      </c>
      <c r="T137" t="s">
        <v>630</v>
      </c>
      <c r="U137">
        <v>400</v>
      </c>
    </row>
    <row r="138" spans="1:21">
      <c r="A138" s="5" t="s">
        <v>549</v>
      </c>
      <c r="B138" s="7" t="s">
        <v>521</v>
      </c>
      <c r="C138" s="7" t="s">
        <v>490</v>
      </c>
      <c r="D138" s="4">
        <v>15</v>
      </c>
      <c r="E138" s="3">
        <v>60</v>
      </c>
      <c r="G138" s="3">
        <v>100</v>
      </c>
      <c r="H138" s="3">
        <v>1.5</v>
      </c>
      <c r="I138" s="2">
        <v>239</v>
      </c>
      <c r="L138" s="6" t="s">
        <v>754</v>
      </c>
      <c r="M138" s="2">
        <v>470.91</v>
      </c>
      <c r="N138" s="5"/>
      <c r="O138" s="2"/>
      <c r="R138" s="5" t="s">
        <v>631</v>
      </c>
      <c r="S138">
        <f>I138-4</f>
        <v>235</v>
      </c>
      <c r="T138" t="s">
        <v>631</v>
      </c>
      <c r="U138">
        <v>580</v>
      </c>
    </row>
    <row r="139" spans="1:21">
      <c r="A139" s="5" t="s">
        <v>549</v>
      </c>
      <c r="B139" s="7" t="s">
        <v>521</v>
      </c>
      <c r="C139" s="7" t="s">
        <v>490</v>
      </c>
      <c r="D139" s="4">
        <v>15</v>
      </c>
      <c r="E139" s="3">
        <v>60</v>
      </c>
      <c r="F139" s="3" t="s">
        <v>339</v>
      </c>
      <c r="G139" s="3">
        <v>100</v>
      </c>
      <c r="H139" s="3">
        <v>1.5</v>
      </c>
      <c r="I139" s="2">
        <v>242</v>
      </c>
      <c r="L139" s="6" t="s">
        <v>754</v>
      </c>
      <c r="M139" s="2">
        <v>470.91</v>
      </c>
      <c r="N139" s="5"/>
      <c r="O139" s="2"/>
    </row>
    <row r="140" spans="1:21">
      <c r="A140" s="5" t="s">
        <v>549</v>
      </c>
      <c r="B140" s="7" t="s">
        <v>521</v>
      </c>
      <c r="C140" s="7" t="s">
        <v>490</v>
      </c>
      <c r="D140" s="4">
        <v>15</v>
      </c>
      <c r="E140" s="2">
        <v>60</v>
      </c>
      <c r="F140" s="3" t="s">
        <v>340</v>
      </c>
      <c r="G140" s="3">
        <v>100</v>
      </c>
      <c r="H140" s="3">
        <v>1.5</v>
      </c>
      <c r="I140" s="2">
        <v>242</v>
      </c>
      <c r="L140" s="6" t="s">
        <v>754</v>
      </c>
      <c r="M140" s="2">
        <v>470.91</v>
      </c>
      <c r="N140" s="5"/>
      <c r="O140" s="2"/>
    </row>
    <row r="141" spans="1:21">
      <c r="A141" s="5" t="s">
        <v>550</v>
      </c>
      <c r="B141" s="7" t="s">
        <v>522</v>
      </c>
      <c r="C141" s="7" t="s">
        <v>491</v>
      </c>
      <c r="D141" s="4">
        <v>20</v>
      </c>
      <c r="E141" s="3">
        <v>24</v>
      </c>
      <c r="G141" s="3">
        <v>100</v>
      </c>
      <c r="H141" s="3">
        <v>1.5</v>
      </c>
      <c r="I141" s="2">
        <v>121</v>
      </c>
      <c r="L141" s="6" t="s">
        <v>755</v>
      </c>
      <c r="M141" s="2">
        <v>235.46</v>
      </c>
      <c r="N141" s="5"/>
      <c r="O141" s="2"/>
    </row>
    <row r="142" spans="1:21">
      <c r="A142" s="5" t="s">
        <v>551</v>
      </c>
      <c r="B142" s="7" t="s">
        <v>523</v>
      </c>
      <c r="C142" s="7" t="s">
        <v>491</v>
      </c>
      <c r="D142" s="4">
        <v>20</v>
      </c>
      <c r="E142" s="3">
        <v>36</v>
      </c>
      <c r="G142" s="3">
        <v>100</v>
      </c>
      <c r="H142" s="3">
        <v>1.5</v>
      </c>
      <c r="I142" s="2">
        <v>171</v>
      </c>
      <c r="L142" s="6" t="s">
        <v>756</v>
      </c>
      <c r="M142" s="2">
        <v>333.2</v>
      </c>
      <c r="N142" s="5"/>
      <c r="O142" s="2"/>
    </row>
    <row r="143" spans="1:21">
      <c r="A143" s="5" t="s">
        <v>552</v>
      </c>
      <c r="B143" s="7" t="s">
        <v>524</v>
      </c>
      <c r="C143" s="7" t="s">
        <v>491</v>
      </c>
      <c r="D143" s="4">
        <v>20</v>
      </c>
      <c r="E143" s="3">
        <v>40</v>
      </c>
      <c r="G143" s="3">
        <v>100</v>
      </c>
      <c r="H143" s="3">
        <v>1.5</v>
      </c>
      <c r="I143" s="2">
        <v>171</v>
      </c>
      <c r="L143" s="6" t="s">
        <v>757</v>
      </c>
      <c r="M143" s="2">
        <v>333.2</v>
      </c>
      <c r="N143" s="5"/>
      <c r="O143" s="2"/>
      <c r="R143" s="5" t="s">
        <v>632</v>
      </c>
      <c r="S143">
        <f>I143-3</f>
        <v>168</v>
      </c>
      <c r="T143" t="s">
        <v>632</v>
      </c>
      <c r="U143">
        <v>400</v>
      </c>
    </row>
    <row r="144" spans="1:21">
      <c r="A144" s="5" t="s">
        <v>553</v>
      </c>
      <c r="B144" s="7" t="s">
        <v>525</v>
      </c>
      <c r="C144" s="7" t="s">
        <v>491</v>
      </c>
      <c r="D144" s="4">
        <v>20</v>
      </c>
      <c r="E144" s="3">
        <v>60</v>
      </c>
      <c r="G144" s="3">
        <v>100</v>
      </c>
      <c r="H144" s="3">
        <v>1.5</v>
      </c>
      <c r="I144" s="2">
        <v>239</v>
      </c>
      <c r="L144" s="6" t="s">
        <v>758</v>
      </c>
      <c r="M144" s="2">
        <v>470.91</v>
      </c>
      <c r="N144" s="5"/>
      <c r="O144" s="2"/>
      <c r="R144" s="5" t="s">
        <v>633</v>
      </c>
      <c r="S144">
        <f>I144-4</f>
        <v>235</v>
      </c>
      <c r="T144" t="s">
        <v>633</v>
      </c>
      <c r="U144">
        <v>580</v>
      </c>
    </row>
    <row r="145" spans="1:21">
      <c r="A145" s="5" t="s">
        <v>553</v>
      </c>
      <c r="B145" s="7" t="s">
        <v>525</v>
      </c>
      <c r="C145" s="7" t="s">
        <v>491</v>
      </c>
      <c r="D145" s="4">
        <v>20</v>
      </c>
      <c r="E145" s="3">
        <v>60</v>
      </c>
      <c r="F145" s="3" t="s">
        <v>339</v>
      </c>
      <c r="G145" s="3">
        <v>100</v>
      </c>
      <c r="H145" s="3">
        <v>1.5</v>
      </c>
      <c r="I145" s="2">
        <v>242</v>
      </c>
      <c r="L145" s="6" t="s">
        <v>758</v>
      </c>
      <c r="M145" s="2">
        <v>470.91</v>
      </c>
      <c r="N145" s="5"/>
      <c r="O145" s="2"/>
    </row>
    <row r="146" spans="1:21">
      <c r="A146" s="5" t="s">
        <v>553</v>
      </c>
      <c r="B146" s="7" t="s">
        <v>525</v>
      </c>
      <c r="C146" s="7" t="s">
        <v>491</v>
      </c>
      <c r="D146" s="4">
        <v>20</v>
      </c>
      <c r="E146" s="2">
        <v>60</v>
      </c>
      <c r="F146" s="3" t="s">
        <v>340</v>
      </c>
      <c r="G146" s="3">
        <v>100</v>
      </c>
      <c r="H146" s="3">
        <v>1.5</v>
      </c>
      <c r="I146" s="2">
        <v>242</v>
      </c>
      <c r="L146" s="6" t="s">
        <v>758</v>
      </c>
      <c r="M146" s="2">
        <v>470.91</v>
      </c>
      <c r="N146" s="5"/>
      <c r="O146" s="2"/>
    </row>
    <row r="147" spans="1:21">
      <c r="A147" s="5" t="s">
        <v>554</v>
      </c>
      <c r="B147" s="7" t="s">
        <v>526</v>
      </c>
      <c r="C147" s="7" t="s">
        <v>492</v>
      </c>
      <c r="D147" s="4">
        <v>30</v>
      </c>
      <c r="E147" s="3">
        <v>24</v>
      </c>
      <c r="G147" s="3">
        <v>100</v>
      </c>
      <c r="H147" s="3">
        <v>1.5</v>
      </c>
      <c r="I147" s="2">
        <v>121</v>
      </c>
      <c r="L147" s="6" t="s">
        <v>759</v>
      </c>
      <c r="M147" s="2">
        <v>235.46</v>
      </c>
      <c r="N147" s="5"/>
      <c r="O147" s="2"/>
    </row>
    <row r="148" spans="1:21">
      <c r="A148" s="5" t="s">
        <v>555</v>
      </c>
      <c r="B148" s="7" t="s">
        <v>527</v>
      </c>
      <c r="C148" s="7" t="s">
        <v>492</v>
      </c>
      <c r="D148" s="4">
        <v>30</v>
      </c>
      <c r="E148" s="3">
        <v>36</v>
      </c>
      <c r="G148" s="3">
        <v>100</v>
      </c>
      <c r="H148" s="3">
        <v>1.5</v>
      </c>
      <c r="I148" s="2">
        <v>171</v>
      </c>
      <c r="L148" s="6" t="s">
        <v>760</v>
      </c>
      <c r="M148" s="2">
        <v>333.2</v>
      </c>
      <c r="N148"/>
      <c r="O148" s="2"/>
    </row>
    <row r="149" spans="1:21">
      <c r="A149" s="5" t="s">
        <v>556</v>
      </c>
      <c r="B149" s="7" t="s">
        <v>528</v>
      </c>
      <c r="C149" s="7" t="s">
        <v>492</v>
      </c>
      <c r="D149" s="4">
        <v>30</v>
      </c>
      <c r="E149" s="3">
        <v>40</v>
      </c>
      <c r="G149" s="3">
        <v>100</v>
      </c>
      <c r="H149" s="3">
        <v>1.5</v>
      </c>
      <c r="I149" s="2">
        <v>171</v>
      </c>
      <c r="L149" s="6" t="s">
        <v>761</v>
      </c>
      <c r="M149" s="2">
        <v>333.2</v>
      </c>
      <c r="N149" s="5"/>
      <c r="O149" s="2"/>
      <c r="R149" s="5"/>
    </row>
    <row r="150" spans="1:21">
      <c r="A150" s="5" t="s">
        <v>557</v>
      </c>
      <c r="B150" s="7" t="s">
        <v>529</v>
      </c>
      <c r="C150" s="7" t="s">
        <v>492</v>
      </c>
      <c r="D150" s="4">
        <v>30</v>
      </c>
      <c r="E150" s="3">
        <v>60</v>
      </c>
      <c r="G150" s="3">
        <v>100</v>
      </c>
      <c r="H150" s="3">
        <v>1.5</v>
      </c>
      <c r="I150" s="2">
        <v>239</v>
      </c>
      <c r="L150" s="6" t="s">
        <v>762</v>
      </c>
      <c r="M150" s="2">
        <v>470.91</v>
      </c>
      <c r="N150" s="5"/>
      <c r="O150" s="2"/>
      <c r="R150" s="5"/>
    </row>
    <row r="151" spans="1:21">
      <c r="A151" s="5" t="s">
        <v>557</v>
      </c>
      <c r="B151" s="7" t="s">
        <v>529</v>
      </c>
      <c r="C151" s="7" t="s">
        <v>492</v>
      </c>
      <c r="D151" s="4">
        <v>30</v>
      </c>
      <c r="E151" s="3">
        <v>60</v>
      </c>
      <c r="F151" s="3" t="s">
        <v>339</v>
      </c>
      <c r="G151" s="3">
        <v>100</v>
      </c>
      <c r="H151" s="3">
        <v>1.5</v>
      </c>
      <c r="I151" s="2">
        <v>242</v>
      </c>
      <c r="L151" s="6" t="s">
        <v>762</v>
      </c>
      <c r="M151" s="2">
        <v>470.91</v>
      </c>
      <c r="N151" s="5"/>
      <c r="O151" s="2"/>
    </row>
    <row r="152" spans="1:21">
      <c r="A152" s="5" t="s">
        <v>557</v>
      </c>
      <c r="B152" s="7" t="s">
        <v>529</v>
      </c>
      <c r="C152" s="7" t="s">
        <v>492</v>
      </c>
      <c r="D152" s="4">
        <v>30</v>
      </c>
      <c r="E152" s="2">
        <v>60</v>
      </c>
      <c r="F152" s="3" t="s">
        <v>340</v>
      </c>
      <c r="G152" s="3">
        <v>100</v>
      </c>
      <c r="H152" s="3">
        <v>1.5</v>
      </c>
      <c r="I152" s="2">
        <v>242</v>
      </c>
      <c r="L152" s="6" t="s">
        <v>762</v>
      </c>
      <c r="M152" s="2">
        <v>470.91</v>
      </c>
      <c r="N152" s="5"/>
      <c r="O152" s="2"/>
    </row>
    <row r="153" spans="1:21">
      <c r="A153" s="5" t="s">
        <v>599</v>
      </c>
      <c r="B153" s="7" t="s">
        <v>600</v>
      </c>
      <c r="C153" s="7" t="s">
        <v>609</v>
      </c>
      <c r="D153" s="4">
        <v>35</v>
      </c>
      <c r="E153" s="3">
        <v>24</v>
      </c>
      <c r="G153" s="3">
        <v>100</v>
      </c>
      <c r="H153" s="3">
        <v>1.5</v>
      </c>
      <c r="I153" s="2">
        <v>121</v>
      </c>
      <c r="L153" s="6" t="s">
        <v>763</v>
      </c>
      <c r="M153" s="2">
        <v>235.46</v>
      </c>
      <c r="N153" s="5"/>
      <c r="O153" s="2"/>
    </row>
    <row r="154" spans="1:21">
      <c r="A154" s="5" t="s">
        <v>601</v>
      </c>
      <c r="B154" s="7" t="s">
        <v>602</v>
      </c>
      <c r="C154" s="7" t="s">
        <v>609</v>
      </c>
      <c r="D154" s="4">
        <v>35</v>
      </c>
      <c r="E154" s="3">
        <v>36</v>
      </c>
      <c r="G154" s="3">
        <v>100</v>
      </c>
      <c r="H154" s="3">
        <v>1.5</v>
      </c>
      <c r="I154" s="2">
        <v>171</v>
      </c>
      <c r="L154" s="6" t="s">
        <v>764</v>
      </c>
      <c r="M154" s="2">
        <v>333.2</v>
      </c>
      <c r="N154" s="5"/>
      <c r="O154" s="2"/>
    </row>
    <row r="155" spans="1:21">
      <c r="A155" s="5" t="s">
        <v>603</v>
      </c>
      <c r="B155" s="7" t="s">
        <v>604</v>
      </c>
      <c r="C155" s="7" t="s">
        <v>609</v>
      </c>
      <c r="D155" s="4">
        <v>35</v>
      </c>
      <c r="E155" s="3">
        <v>40</v>
      </c>
      <c r="G155" s="3">
        <v>100</v>
      </c>
      <c r="H155" s="3">
        <v>1.5</v>
      </c>
      <c r="I155" s="2">
        <v>171</v>
      </c>
      <c r="L155" s="6" t="s">
        <v>765</v>
      </c>
      <c r="M155" s="2">
        <v>333.2</v>
      </c>
      <c r="N155" s="2"/>
      <c r="O155" s="2"/>
      <c r="R155" s="5" t="s">
        <v>634</v>
      </c>
      <c r="S155">
        <f>I155-3</f>
        <v>168</v>
      </c>
      <c r="T155" t="s">
        <v>634</v>
      </c>
      <c r="U155">
        <v>400</v>
      </c>
    </row>
    <row r="156" spans="1:21">
      <c r="A156" s="5" t="s">
        <v>605</v>
      </c>
      <c r="B156" s="7" t="s">
        <v>606</v>
      </c>
      <c r="C156" s="7" t="s">
        <v>609</v>
      </c>
      <c r="D156" s="4">
        <v>35</v>
      </c>
      <c r="E156" s="3">
        <v>60</v>
      </c>
      <c r="G156" s="3">
        <v>100</v>
      </c>
      <c r="H156" s="3">
        <v>1.5</v>
      </c>
      <c r="I156" s="2">
        <v>239</v>
      </c>
      <c r="L156" s="6" t="s">
        <v>766</v>
      </c>
      <c r="M156" s="2">
        <v>470.91</v>
      </c>
      <c r="N156" s="2"/>
      <c r="O156" s="2"/>
      <c r="R156" s="5" t="s">
        <v>635</v>
      </c>
      <c r="S156">
        <f>I156-4</f>
        <v>235</v>
      </c>
      <c r="T156" t="s">
        <v>635</v>
      </c>
      <c r="U156">
        <v>580</v>
      </c>
    </row>
    <row r="157" spans="1:21">
      <c r="A157" s="5" t="s">
        <v>605</v>
      </c>
      <c r="B157" s="7" t="s">
        <v>606</v>
      </c>
      <c r="C157" s="7" t="s">
        <v>609</v>
      </c>
      <c r="D157" s="4">
        <v>35</v>
      </c>
      <c r="E157" s="3">
        <v>60</v>
      </c>
      <c r="F157" s="3" t="s">
        <v>339</v>
      </c>
      <c r="G157" s="3">
        <v>100</v>
      </c>
      <c r="H157" s="3">
        <v>1.5</v>
      </c>
      <c r="I157" s="2">
        <v>242</v>
      </c>
      <c r="L157" s="6" t="s">
        <v>766</v>
      </c>
      <c r="M157" s="2">
        <v>470.91</v>
      </c>
      <c r="N157" s="2"/>
      <c r="O157" s="2"/>
    </row>
    <row r="158" spans="1:21">
      <c r="A158" s="5" t="s">
        <v>605</v>
      </c>
      <c r="B158" s="7" t="s">
        <v>606</v>
      </c>
      <c r="C158" s="7" t="s">
        <v>609</v>
      </c>
      <c r="D158" s="4">
        <v>35</v>
      </c>
      <c r="E158" s="2">
        <v>60</v>
      </c>
      <c r="F158" s="3" t="s">
        <v>340</v>
      </c>
      <c r="G158" s="3">
        <v>100</v>
      </c>
      <c r="H158" s="3">
        <v>1.5</v>
      </c>
      <c r="I158" s="2">
        <v>242</v>
      </c>
      <c r="L158" s="6" t="s">
        <v>766</v>
      </c>
      <c r="M158" s="2">
        <v>470.91</v>
      </c>
      <c r="N158" s="2"/>
      <c r="O158" s="2"/>
    </row>
    <row r="159" spans="1:21">
      <c r="A159" s="5" t="s">
        <v>558</v>
      </c>
      <c r="B159" s="7" t="s">
        <v>530</v>
      </c>
      <c r="C159" s="7" t="s">
        <v>493</v>
      </c>
      <c r="D159" s="4">
        <v>40</v>
      </c>
      <c r="E159" s="3">
        <v>24</v>
      </c>
      <c r="G159" s="3">
        <v>100</v>
      </c>
      <c r="H159" s="3">
        <v>1.5</v>
      </c>
      <c r="I159" s="2">
        <v>121</v>
      </c>
      <c r="L159" s="6" t="s">
        <v>767</v>
      </c>
      <c r="M159" s="2">
        <v>235.46</v>
      </c>
      <c r="N159" s="2"/>
      <c r="O159" s="2"/>
    </row>
    <row r="160" spans="1:21">
      <c r="A160" s="5" t="s">
        <v>559</v>
      </c>
      <c r="B160" s="7" t="s">
        <v>531</v>
      </c>
      <c r="C160" s="7" t="s">
        <v>493</v>
      </c>
      <c r="D160" s="4">
        <v>40</v>
      </c>
      <c r="E160" s="3">
        <v>36</v>
      </c>
      <c r="G160" s="3">
        <v>100</v>
      </c>
      <c r="H160" s="3">
        <v>1.5</v>
      </c>
      <c r="I160" s="2">
        <v>171</v>
      </c>
      <c r="L160" s="6" t="s">
        <v>768</v>
      </c>
      <c r="M160" s="2">
        <v>333.2</v>
      </c>
      <c r="N160" s="2"/>
      <c r="O160" s="2"/>
    </row>
    <row r="161" spans="1:21">
      <c r="A161" s="5" t="s">
        <v>560</v>
      </c>
      <c r="B161" s="7" t="s">
        <v>532</v>
      </c>
      <c r="C161" s="7" t="s">
        <v>493</v>
      </c>
      <c r="D161" s="4">
        <v>40</v>
      </c>
      <c r="E161" s="3">
        <v>40</v>
      </c>
      <c r="G161" s="3">
        <v>100</v>
      </c>
      <c r="H161" s="3">
        <v>1.5</v>
      </c>
      <c r="I161" s="2">
        <v>171</v>
      </c>
      <c r="L161" s="6" t="s">
        <v>769</v>
      </c>
      <c r="M161" s="2">
        <v>333.2</v>
      </c>
      <c r="N161" s="2"/>
      <c r="O161" s="2"/>
      <c r="R161" s="5" t="s">
        <v>636</v>
      </c>
      <c r="S161">
        <f>I161-3</f>
        <v>168</v>
      </c>
      <c r="T161" t="s">
        <v>636</v>
      </c>
      <c r="U161">
        <v>400</v>
      </c>
    </row>
    <row r="162" spans="1:21">
      <c r="A162" s="5" t="s">
        <v>561</v>
      </c>
      <c r="B162" s="7" t="s">
        <v>533</v>
      </c>
      <c r="C162" s="7" t="s">
        <v>493</v>
      </c>
      <c r="D162" s="4">
        <v>40</v>
      </c>
      <c r="E162" s="3">
        <v>60</v>
      </c>
      <c r="G162" s="3">
        <v>100</v>
      </c>
      <c r="H162" s="3">
        <v>1.5</v>
      </c>
      <c r="I162" s="2">
        <v>239</v>
      </c>
      <c r="L162" s="6" t="s">
        <v>770</v>
      </c>
      <c r="M162" s="2">
        <v>470.91</v>
      </c>
      <c r="N162" s="2"/>
      <c r="O162" s="2"/>
      <c r="R162" s="5" t="s">
        <v>637</v>
      </c>
      <c r="S162">
        <f>I162-4</f>
        <v>235</v>
      </c>
      <c r="T162" t="s">
        <v>637</v>
      </c>
      <c r="U162">
        <v>580</v>
      </c>
    </row>
    <row r="163" spans="1:21">
      <c r="A163" s="5" t="s">
        <v>561</v>
      </c>
      <c r="B163" s="7" t="s">
        <v>533</v>
      </c>
      <c r="C163" s="7" t="s">
        <v>493</v>
      </c>
      <c r="D163" s="4">
        <v>40</v>
      </c>
      <c r="E163" s="3">
        <v>60</v>
      </c>
      <c r="F163" s="3" t="s">
        <v>339</v>
      </c>
      <c r="G163" s="3">
        <v>100</v>
      </c>
      <c r="H163" s="3">
        <v>1.5</v>
      </c>
      <c r="I163" s="2">
        <v>242</v>
      </c>
      <c r="L163" s="6" t="s">
        <v>770</v>
      </c>
      <c r="M163" s="2">
        <v>470.91</v>
      </c>
      <c r="N163" s="2"/>
      <c r="O163" s="2"/>
    </row>
    <row r="164" spans="1:21">
      <c r="A164" s="5" t="s">
        <v>561</v>
      </c>
      <c r="B164" s="7" t="s">
        <v>533</v>
      </c>
      <c r="C164" s="7" t="s">
        <v>493</v>
      </c>
      <c r="D164" s="4">
        <v>40</v>
      </c>
      <c r="E164" s="2">
        <v>60</v>
      </c>
      <c r="F164" s="3" t="s">
        <v>340</v>
      </c>
      <c r="G164" s="3">
        <v>100</v>
      </c>
      <c r="H164" s="3">
        <v>1.5</v>
      </c>
      <c r="I164" s="2">
        <v>242</v>
      </c>
      <c r="L164" s="6" t="s">
        <v>770</v>
      </c>
      <c r="M164" s="2">
        <v>470.91</v>
      </c>
      <c r="N164" s="2"/>
      <c r="O164" s="2"/>
    </row>
    <row r="165" spans="1:21">
      <c r="A165" s="5" t="s">
        <v>562</v>
      </c>
      <c r="B165" s="7" t="s">
        <v>534</v>
      </c>
      <c r="C165" s="7" t="s">
        <v>494</v>
      </c>
      <c r="D165" s="4">
        <v>50</v>
      </c>
      <c r="E165" s="3">
        <v>24</v>
      </c>
      <c r="G165" s="3">
        <v>100</v>
      </c>
      <c r="H165" s="3">
        <v>1.5</v>
      </c>
      <c r="I165" s="2">
        <v>125.5</v>
      </c>
      <c r="L165" s="6" t="s">
        <v>771</v>
      </c>
      <c r="M165" s="2">
        <v>235.46</v>
      </c>
      <c r="N165" s="2"/>
      <c r="O165" s="2"/>
    </row>
    <row r="166" spans="1:21">
      <c r="A166" s="5" t="s">
        <v>563</v>
      </c>
      <c r="B166" s="7" t="s">
        <v>535</v>
      </c>
      <c r="C166" s="7" t="s">
        <v>494</v>
      </c>
      <c r="D166" s="4">
        <v>50</v>
      </c>
      <c r="E166" s="3">
        <v>36</v>
      </c>
      <c r="G166" s="3">
        <v>100</v>
      </c>
      <c r="H166" s="3">
        <v>1.5</v>
      </c>
      <c r="I166" s="2">
        <v>177</v>
      </c>
      <c r="L166" s="6" t="s">
        <v>772</v>
      </c>
      <c r="M166" s="2">
        <v>333.2</v>
      </c>
      <c r="N166" s="2"/>
      <c r="O166" s="2"/>
    </row>
    <row r="167" spans="1:21">
      <c r="A167" s="5" t="s">
        <v>564</v>
      </c>
      <c r="B167" s="7" t="s">
        <v>536</v>
      </c>
      <c r="C167" s="7" t="s">
        <v>494</v>
      </c>
      <c r="D167" s="4">
        <v>50</v>
      </c>
      <c r="E167" s="3">
        <v>40</v>
      </c>
      <c r="G167" s="3">
        <v>100</v>
      </c>
      <c r="H167" s="3">
        <v>1.5</v>
      </c>
      <c r="I167" s="2">
        <v>177</v>
      </c>
      <c r="L167" s="6" t="s">
        <v>773</v>
      </c>
      <c r="M167" s="2">
        <v>333.2</v>
      </c>
      <c r="N167" s="2"/>
      <c r="O167" s="2"/>
      <c r="R167" s="5" t="s">
        <v>638</v>
      </c>
      <c r="S167">
        <f>I167-3</f>
        <v>174</v>
      </c>
      <c r="T167" t="s">
        <v>638</v>
      </c>
      <c r="U167">
        <v>400</v>
      </c>
    </row>
    <row r="168" spans="1:21">
      <c r="A168" s="5" t="s">
        <v>565</v>
      </c>
      <c r="B168" s="7" t="s">
        <v>537</v>
      </c>
      <c r="C168" s="7" t="s">
        <v>494</v>
      </c>
      <c r="D168" s="4">
        <v>50</v>
      </c>
      <c r="E168" s="3">
        <v>60</v>
      </c>
      <c r="G168" s="3">
        <v>100</v>
      </c>
      <c r="H168" s="3">
        <v>1.5</v>
      </c>
      <c r="I168" s="2">
        <v>248</v>
      </c>
      <c r="L168" s="6" t="s">
        <v>774</v>
      </c>
      <c r="M168" s="2">
        <v>470.91</v>
      </c>
      <c r="N168" s="2"/>
      <c r="O168" s="2"/>
      <c r="R168" s="5" t="s">
        <v>639</v>
      </c>
      <c r="S168">
        <f>I168-4</f>
        <v>244</v>
      </c>
      <c r="T168" t="s">
        <v>639</v>
      </c>
      <c r="U168">
        <v>580</v>
      </c>
    </row>
    <row r="169" spans="1:21">
      <c r="A169" s="5" t="s">
        <v>565</v>
      </c>
      <c r="B169" s="7" t="s">
        <v>537</v>
      </c>
      <c r="C169" s="7" t="s">
        <v>494</v>
      </c>
      <c r="D169" s="4">
        <v>50</v>
      </c>
      <c r="E169" s="3">
        <v>60</v>
      </c>
      <c r="F169" s="3" t="s">
        <v>339</v>
      </c>
      <c r="G169" s="3">
        <v>100</v>
      </c>
      <c r="H169" s="3">
        <v>1.5</v>
      </c>
      <c r="I169" s="2">
        <v>251</v>
      </c>
      <c r="L169" s="6" t="s">
        <v>774</v>
      </c>
      <c r="M169" s="2">
        <v>470.91</v>
      </c>
      <c r="N169" s="2"/>
      <c r="O169" s="2"/>
    </row>
    <row r="170" spans="1:21">
      <c r="A170" s="5" t="s">
        <v>565</v>
      </c>
      <c r="B170" s="7" t="s">
        <v>537</v>
      </c>
      <c r="C170" s="7" t="s">
        <v>494</v>
      </c>
      <c r="D170" s="4">
        <v>50</v>
      </c>
      <c r="E170" s="2">
        <v>60</v>
      </c>
      <c r="F170" s="3" t="s">
        <v>340</v>
      </c>
      <c r="G170" s="3">
        <v>100</v>
      </c>
      <c r="H170" s="3">
        <v>1.5</v>
      </c>
      <c r="I170" s="2">
        <v>251</v>
      </c>
      <c r="L170" s="6" t="s">
        <v>774</v>
      </c>
      <c r="M170" s="2">
        <v>470.91</v>
      </c>
      <c r="N170" s="2"/>
      <c r="O170" s="2"/>
    </row>
    <row r="171" spans="1:21">
      <c r="A171" s="5" t="s">
        <v>566</v>
      </c>
      <c r="B171" s="7" t="s">
        <v>538</v>
      </c>
      <c r="C171" s="7" t="s">
        <v>495</v>
      </c>
      <c r="D171" s="4">
        <v>70</v>
      </c>
      <c r="E171" s="3">
        <v>24</v>
      </c>
      <c r="G171" s="3">
        <v>100</v>
      </c>
      <c r="H171" s="3">
        <v>1.5</v>
      </c>
      <c r="I171" s="2">
        <v>119.5</v>
      </c>
      <c r="L171" s="6" t="s">
        <v>775</v>
      </c>
      <c r="M171" s="2">
        <v>235.46</v>
      </c>
      <c r="N171" s="2"/>
      <c r="O171" s="2"/>
    </row>
    <row r="172" spans="1:21">
      <c r="A172" s="5" t="s">
        <v>567</v>
      </c>
      <c r="B172" s="7" t="s">
        <v>539</v>
      </c>
      <c r="C172" s="7" t="s">
        <v>495</v>
      </c>
      <c r="D172" s="4">
        <v>70</v>
      </c>
      <c r="E172" s="3">
        <v>36</v>
      </c>
      <c r="G172" s="3">
        <v>100</v>
      </c>
      <c r="H172" s="3">
        <v>1.5</v>
      </c>
      <c r="I172" s="2">
        <v>170</v>
      </c>
      <c r="L172" s="6" t="s">
        <v>776</v>
      </c>
      <c r="M172" s="2">
        <v>333.2</v>
      </c>
      <c r="N172" s="2"/>
      <c r="O172" s="2"/>
    </row>
    <row r="173" spans="1:21">
      <c r="A173" s="5" t="s">
        <v>568</v>
      </c>
      <c r="B173" s="7" t="s">
        <v>540</v>
      </c>
      <c r="C173" s="7" t="s">
        <v>495</v>
      </c>
      <c r="D173" s="4">
        <v>70</v>
      </c>
      <c r="E173" s="3">
        <v>40</v>
      </c>
      <c r="G173" s="3">
        <v>100</v>
      </c>
      <c r="H173" s="3">
        <v>1.5</v>
      </c>
      <c r="I173" s="2">
        <v>170</v>
      </c>
      <c r="L173" s="6" t="s">
        <v>777</v>
      </c>
      <c r="M173" s="2">
        <v>333.2</v>
      </c>
      <c r="N173" s="2"/>
      <c r="O173" s="2"/>
      <c r="R173" s="5" t="s">
        <v>640</v>
      </c>
      <c r="S173">
        <f>I173-3</f>
        <v>167</v>
      </c>
      <c r="T173" t="s">
        <v>640</v>
      </c>
      <c r="U173">
        <v>400</v>
      </c>
    </row>
    <row r="174" spans="1:21">
      <c r="A174" s="5" t="s">
        <v>569</v>
      </c>
      <c r="B174" s="7" t="s">
        <v>541</v>
      </c>
      <c r="C174" s="7" t="s">
        <v>495</v>
      </c>
      <c r="D174" s="4">
        <v>70</v>
      </c>
      <c r="E174" s="3">
        <v>60</v>
      </c>
      <c r="G174" s="3">
        <v>100</v>
      </c>
      <c r="H174" s="3">
        <v>1.5</v>
      </c>
      <c r="I174" s="2">
        <v>236</v>
      </c>
      <c r="L174" s="6" t="s">
        <v>778</v>
      </c>
      <c r="M174" s="2">
        <v>470.91</v>
      </c>
      <c r="N174" s="2"/>
      <c r="O174" s="2"/>
      <c r="R174" s="5" t="s">
        <v>641</v>
      </c>
      <c r="S174">
        <f>I174-4</f>
        <v>232</v>
      </c>
      <c r="T174" t="s">
        <v>641</v>
      </c>
      <c r="U174">
        <v>580</v>
      </c>
    </row>
    <row r="175" spans="1:21">
      <c r="A175" s="5" t="s">
        <v>569</v>
      </c>
      <c r="B175" s="7" t="s">
        <v>541</v>
      </c>
      <c r="C175" s="7" t="s">
        <v>495</v>
      </c>
      <c r="D175" s="4">
        <v>70</v>
      </c>
      <c r="E175" s="3">
        <v>60</v>
      </c>
      <c r="F175" s="3" t="s">
        <v>339</v>
      </c>
      <c r="G175" s="3">
        <v>100</v>
      </c>
      <c r="H175" s="3">
        <v>1.5</v>
      </c>
      <c r="I175" s="2">
        <v>239</v>
      </c>
      <c r="L175" s="6" t="s">
        <v>778</v>
      </c>
      <c r="M175" s="2">
        <v>470.91</v>
      </c>
      <c r="N175" s="2"/>
      <c r="O175" s="2"/>
    </row>
    <row r="176" spans="1:21">
      <c r="A176" s="5" t="s">
        <v>569</v>
      </c>
      <c r="B176" s="7" t="s">
        <v>541</v>
      </c>
      <c r="C176" s="7" t="s">
        <v>495</v>
      </c>
      <c r="D176" s="4">
        <v>70</v>
      </c>
      <c r="E176" s="2">
        <v>60</v>
      </c>
      <c r="F176" s="3" t="s">
        <v>340</v>
      </c>
      <c r="G176" s="3">
        <v>100</v>
      </c>
      <c r="H176" s="3">
        <v>1.5</v>
      </c>
      <c r="I176" s="2">
        <v>239</v>
      </c>
      <c r="L176" s="6" t="s">
        <v>778</v>
      </c>
      <c r="M176" s="2">
        <v>470.91</v>
      </c>
      <c r="N176" s="2"/>
      <c r="O176" s="2"/>
    </row>
    <row r="177" spans="1:19">
      <c r="A177" s="5" t="s">
        <v>433</v>
      </c>
      <c r="B177" s="7" t="s">
        <v>461</v>
      </c>
      <c r="C177" s="7" t="s">
        <v>489</v>
      </c>
      <c r="D177" s="4" t="s">
        <v>2</v>
      </c>
      <c r="E177" s="3">
        <v>24</v>
      </c>
      <c r="G177" s="3">
        <v>100</v>
      </c>
      <c r="H177" s="3">
        <v>2</v>
      </c>
      <c r="I177" s="3">
        <v>126.5</v>
      </c>
      <c r="J177" s="6" t="s">
        <v>698</v>
      </c>
      <c r="K177" s="3">
        <v>248.77500000000001</v>
      </c>
      <c r="L177" s="6"/>
    </row>
    <row r="178" spans="1:19">
      <c r="A178" s="5" t="s">
        <v>434</v>
      </c>
      <c r="B178" s="7" t="s">
        <v>462</v>
      </c>
      <c r="C178" s="7" t="s">
        <v>489</v>
      </c>
      <c r="D178" s="4" t="s">
        <v>2</v>
      </c>
      <c r="E178" s="3">
        <v>36</v>
      </c>
      <c r="G178" s="3">
        <v>100</v>
      </c>
      <c r="H178" s="3">
        <v>2</v>
      </c>
      <c r="I178" s="3">
        <v>179</v>
      </c>
      <c r="J178" s="6" t="s">
        <v>699</v>
      </c>
      <c r="K178" s="3">
        <v>346.15</v>
      </c>
      <c r="L178" s="6"/>
    </row>
    <row r="179" spans="1:19">
      <c r="A179" s="5" t="s">
        <v>435</v>
      </c>
      <c r="B179" s="7" t="s">
        <v>463</v>
      </c>
      <c r="C179" s="7" t="s">
        <v>489</v>
      </c>
      <c r="D179" s="4" t="s">
        <v>2</v>
      </c>
      <c r="E179" s="3">
        <v>40</v>
      </c>
      <c r="G179" s="3">
        <v>100</v>
      </c>
      <c r="H179" s="3">
        <v>2</v>
      </c>
      <c r="I179" s="3">
        <v>179</v>
      </c>
      <c r="J179" s="6" t="s">
        <v>700</v>
      </c>
      <c r="K179" s="3">
        <v>346.15</v>
      </c>
      <c r="R179" t="s">
        <v>616</v>
      </c>
      <c r="S179">
        <f>I179-3</f>
        <v>176</v>
      </c>
    </row>
    <row r="180" spans="1:19">
      <c r="A180" s="5" t="s">
        <v>436</v>
      </c>
      <c r="B180" s="7" t="s">
        <v>464</v>
      </c>
      <c r="C180" s="7" t="s">
        <v>489</v>
      </c>
      <c r="D180" s="4" t="s">
        <v>2</v>
      </c>
      <c r="E180" s="3">
        <v>60</v>
      </c>
      <c r="G180" s="3">
        <v>100</v>
      </c>
      <c r="H180" s="3">
        <v>2</v>
      </c>
      <c r="I180" s="3">
        <v>245</v>
      </c>
      <c r="J180" s="6" t="s">
        <v>701</v>
      </c>
      <c r="K180" s="3">
        <v>487.55</v>
      </c>
      <c r="R180" t="s">
        <v>617</v>
      </c>
      <c r="S180">
        <f>I180</f>
        <v>245</v>
      </c>
    </row>
    <row r="181" spans="1:19">
      <c r="A181" s="5" t="s">
        <v>436</v>
      </c>
      <c r="B181" s="7" t="s">
        <v>464</v>
      </c>
      <c r="C181" s="7" t="s">
        <v>489</v>
      </c>
      <c r="D181" s="4" t="s">
        <v>2</v>
      </c>
      <c r="E181" s="3">
        <v>60</v>
      </c>
      <c r="F181" s="3" t="s">
        <v>339</v>
      </c>
      <c r="G181" s="3">
        <v>100</v>
      </c>
      <c r="H181" s="3">
        <v>2</v>
      </c>
      <c r="I181" s="3">
        <v>252</v>
      </c>
      <c r="J181" s="6" t="s">
        <v>701</v>
      </c>
      <c r="K181" s="3">
        <v>497.55</v>
      </c>
    </row>
    <row r="182" spans="1:19">
      <c r="A182" s="5" t="s">
        <v>436</v>
      </c>
      <c r="B182" s="7" t="s">
        <v>464</v>
      </c>
      <c r="C182" s="7" t="s">
        <v>489</v>
      </c>
      <c r="D182" s="4" t="s">
        <v>2</v>
      </c>
      <c r="E182" s="2">
        <v>60</v>
      </c>
      <c r="F182" s="3" t="s">
        <v>340</v>
      </c>
      <c r="G182" s="3">
        <v>100</v>
      </c>
      <c r="H182" s="3">
        <v>2</v>
      </c>
      <c r="I182" s="3">
        <v>252</v>
      </c>
      <c r="J182" s="6" t="s">
        <v>701</v>
      </c>
      <c r="K182" s="3">
        <v>497.55</v>
      </c>
    </row>
    <row r="183" spans="1:19">
      <c r="A183" s="5" t="s">
        <v>437</v>
      </c>
      <c r="B183" s="7" t="s">
        <v>465</v>
      </c>
      <c r="C183" s="7" t="s">
        <v>490</v>
      </c>
      <c r="D183" s="4">
        <v>15</v>
      </c>
      <c r="E183" s="3">
        <v>24</v>
      </c>
      <c r="G183" s="3">
        <v>100</v>
      </c>
      <c r="H183" s="3">
        <v>2</v>
      </c>
      <c r="I183" s="3">
        <v>126.5</v>
      </c>
      <c r="J183" s="6" t="s">
        <v>702</v>
      </c>
      <c r="K183" s="3">
        <v>248.77500000000001</v>
      </c>
    </row>
    <row r="184" spans="1:19">
      <c r="A184" s="5" t="s">
        <v>438</v>
      </c>
      <c r="B184" s="7" t="s">
        <v>466</v>
      </c>
      <c r="C184" s="7" t="s">
        <v>490</v>
      </c>
      <c r="D184" s="4">
        <v>15</v>
      </c>
      <c r="E184" s="3">
        <v>36</v>
      </c>
      <c r="G184" s="3">
        <v>100</v>
      </c>
      <c r="H184" s="3">
        <v>2</v>
      </c>
      <c r="I184" s="3">
        <v>179</v>
      </c>
      <c r="J184" s="6" t="s">
        <v>703</v>
      </c>
      <c r="K184" s="3">
        <v>346.15</v>
      </c>
    </row>
    <row r="185" spans="1:19">
      <c r="A185" s="5" t="s">
        <v>439</v>
      </c>
      <c r="B185" s="7" t="s">
        <v>467</v>
      </c>
      <c r="C185" s="7" t="s">
        <v>490</v>
      </c>
      <c r="D185" s="4">
        <v>15</v>
      </c>
      <c r="E185" s="3">
        <v>40</v>
      </c>
      <c r="G185" s="3">
        <v>100</v>
      </c>
      <c r="H185" s="3">
        <v>2</v>
      </c>
      <c r="I185" s="3">
        <v>179</v>
      </c>
      <c r="J185" s="6" t="s">
        <v>704</v>
      </c>
      <c r="K185" s="3">
        <v>346.15</v>
      </c>
      <c r="R185" t="s">
        <v>618</v>
      </c>
      <c r="S185">
        <f>I185-3</f>
        <v>176</v>
      </c>
    </row>
    <row r="186" spans="1:19">
      <c r="A186" s="5" t="s">
        <v>440</v>
      </c>
      <c r="B186" s="7" t="s">
        <v>468</v>
      </c>
      <c r="C186" s="7" t="s">
        <v>490</v>
      </c>
      <c r="D186" s="4">
        <v>15</v>
      </c>
      <c r="E186" s="3">
        <v>60</v>
      </c>
      <c r="G186" s="3">
        <v>100</v>
      </c>
      <c r="H186" s="3">
        <v>2</v>
      </c>
      <c r="I186" s="3">
        <v>245</v>
      </c>
      <c r="J186" s="6" t="s">
        <v>705</v>
      </c>
      <c r="K186" s="3">
        <v>487.55</v>
      </c>
      <c r="R186" t="s">
        <v>619</v>
      </c>
      <c r="S186">
        <f>I186</f>
        <v>245</v>
      </c>
    </row>
    <row r="187" spans="1:19">
      <c r="A187" s="5" t="s">
        <v>440</v>
      </c>
      <c r="B187" s="7" t="s">
        <v>468</v>
      </c>
      <c r="C187" s="7" t="s">
        <v>490</v>
      </c>
      <c r="D187" s="4">
        <v>15</v>
      </c>
      <c r="E187" s="3">
        <v>60</v>
      </c>
      <c r="F187" s="3" t="s">
        <v>339</v>
      </c>
      <c r="G187" s="3">
        <v>100</v>
      </c>
      <c r="H187" s="3">
        <v>2</v>
      </c>
      <c r="I187" s="3">
        <v>252</v>
      </c>
      <c r="J187" s="6" t="s">
        <v>705</v>
      </c>
      <c r="K187" s="3">
        <v>497.55</v>
      </c>
    </row>
    <row r="188" spans="1:19">
      <c r="A188" s="5" t="s">
        <v>440</v>
      </c>
      <c r="B188" s="7" t="s">
        <v>468</v>
      </c>
      <c r="C188" s="7" t="s">
        <v>490</v>
      </c>
      <c r="D188" s="4">
        <v>15</v>
      </c>
      <c r="E188" s="2">
        <v>60</v>
      </c>
      <c r="F188" s="3" t="s">
        <v>340</v>
      </c>
      <c r="G188" s="3">
        <v>100</v>
      </c>
      <c r="H188" s="3">
        <v>2</v>
      </c>
      <c r="I188" s="3">
        <v>252</v>
      </c>
      <c r="J188" s="6" t="s">
        <v>705</v>
      </c>
      <c r="K188" s="3">
        <v>497.55</v>
      </c>
    </row>
    <row r="189" spans="1:19">
      <c r="A189" s="5" t="s">
        <v>441</v>
      </c>
      <c r="B189" s="7" t="s">
        <v>469</v>
      </c>
      <c r="C189" s="7" t="s">
        <v>491</v>
      </c>
      <c r="D189" s="4">
        <v>20</v>
      </c>
      <c r="E189" s="3">
        <v>24</v>
      </c>
      <c r="G189" s="3">
        <v>100</v>
      </c>
      <c r="H189" s="3">
        <v>2</v>
      </c>
      <c r="I189" s="3">
        <v>126.5</v>
      </c>
      <c r="J189" s="6" t="s">
        <v>706</v>
      </c>
      <c r="K189" s="3">
        <v>248.77500000000001</v>
      </c>
    </row>
    <row r="190" spans="1:19">
      <c r="A190" s="5" t="s">
        <v>442</v>
      </c>
      <c r="B190" s="7" t="s">
        <v>470</v>
      </c>
      <c r="C190" s="7" t="s">
        <v>491</v>
      </c>
      <c r="D190" s="4">
        <v>20</v>
      </c>
      <c r="E190" s="3">
        <v>36</v>
      </c>
      <c r="G190" s="3">
        <v>100</v>
      </c>
      <c r="H190" s="3">
        <v>2</v>
      </c>
      <c r="I190" s="3">
        <v>179</v>
      </c>
      <c r="J190" s="6" t="s">
        <v>707</v>
      </c>
      <c r="K190" s="3">
        <v>346.15</v>
      </c>
    </row>
    <row r="191" spans="1:19">
      <c r="A191" s="5" t="s">
        <v>443</v>
      </c>
      <c r="B191" s="7" t="s">
        <v>471</v>
      </c>
      <c r="C191" s="7" t="s">
        <v>491</v>
      </c>
      <c r="D191" s="4">
        <v>20</v>
      </c>
      <c r="E191" s="3">
        <v>40</v>
      </c>
      <c r="G191" s="3">
        <v>100</v>
      </c>
      <c r="H191" s="3">
        <v>2</v>
      </c>
      <c r="I191" s="3">
        <v>179</v>
      </c>
      <c r="J191" s="6" t="s">
        <v>708</v>
      </c>
      <c r="K191" s="3">
        <v>346.15</v>
      </c>
      <c r="R191" t="s">
        <v>628</v>
      </c>
      <c r="S191">
        <f>I191-3</f>
        <v>176</v>
      </c>
    </row>
    <row r="192" spans="1:19">
      <c r="A192" s="5" t="s">
        <v>444</v>
      </c>
      <c r="B192" s="7" t="s">
        <v>472</v>
      </c>
      <c r="C192" s="7" t="s">
        <v>491</v>
      </c>
      <c r="D192" s="4">
        <v>20</v>
      </c>
      <c r="E192" s="3">
        <v>60</v>
      </c>
      <c r="G192" s="3">
        <v>100</v>
      </c>
      <c r="H192" s="3">
        <v>2</v>
      </c>
      <c r="I192" s="3">
        <v>245</v>
      </c>
      <c r="J192" s="6" t="s">
        <v>709</v>
      </c>
      <c r="K192" s="3">
        <v>487.55</v>
      </c>
      <c r="R192" t="s">
        <v>629</v>
      </c>
      <c r="S192">
        <f>I192</f>
        <v>245</v>
      </c>
    </row>
    <row r="193" spans="1:19">
      <c r="A193" s="5" t="s">
        <v>444</v>
      </c>
      <c r="B193" s="7" t="s">
        <v>472</v>
      </c>
      <c r="C193" s="7" t="s">
        <v>491</v>
      </c>
      <c r="D193" s="4">
        <v>20</v>
      </c>
      <c r="E193" s="3">
        <v>60</v>
      </c>
      <c r="F193" s="3" t="s">
        <v>339</v>
      </c>
      <c r="G193" s="3">
        <v>100</v>
      </c>
      <c r="H193" s="3">
        <v>2</v>
      </c>
      <c r="I193" s="3">
        <v>252</v>
      </c>
      <c r="J193" s="6" t="s">
        <v>709</v>
      </c>
      <c r="K193" s="3">
        <v>497.55</v>
      </c>
    </row>
    <row r="194" spans="1:19">
      <c r="A194" s="5" t="s">
        <v>444</v>
      </c>
      <c r="B194" s="7" t="s">
        <v>472</v>
      </c>
      <c r="C194" s="7" t="s">
        <v>491</v>
      </c>
      <c r="D194" s="4">
        <v>20</v>
      </c>
      <c r="E194" s="2">
        <v>60</v>
      </c>
      <c r="F194" s="3" t="s">
        <v>340</v>
      </c>
      <c r="G194" s="3">
        <v>100</v>
      </c>
      <c r="H194" s="3">
        <v>2</v>
      </c>
      <c r="I194" s="3">
        <v>252</v>
      </c>
      <c r="J194" s="6" t="s">
        <v>709</v>
      </c>
      <c r="K194" s="3">
        <v>497.55</v>
      </c>
    </row>
    <row r="195" spans="1:19">
      <c r="A195" s="5" t="s">
        <v>445</v>
      </c>
      <c r="B195" s="7" t="s">
        <v>473</v>
      </c>
      <c r="C195" s="7" t="s">
        <v>492</v>
      </c>
      <c r="D195" s="4">
        <v>30</v>
      </c>
      <c r="E195" s="3">
        <v>24</v>
      </c>
      <c r="G195" s="3">
        <v>100</v>
      </c>
      <c r="H195" s="3">
        <v>2</v>
      </c>
      <c r="I195" s="3">
        <v>126.5</v>
      </c>
      <c r="J195" s="6" t="s">
        <v>710</v>
      </c>
      <c r="K195" s="3">
        <v>248.77500000000001</v>
      </c>
    </row>
    <row r="196" spans="1:19">
      <c r="A196" s="5" t="s">
        <v>446</v>
      </c>
      <c r="B196" s="7" t="s">
        <v>474</v>
      </c>
      <c r="C196" s="7" t="s">
        <v>492</v>
      </c>
      <c r="D196" s="4">
        <v>30</v>
      </c>
      <c r="E196" s="3">
        <v>36</v>
      </c>
      <c r="G196" s="3">
        <v>100</v>
      </c>
      <c r="H196" s="3">
        <v>2</v>
      </c>
      <c r="I196" s="3">
        <v>179</v>
      </c>
      <c r="J196" s="6" t="s">
        <v>711</v>
      </c>
      <c r="K196" s="3">
        <v>346.15</v>
      </c>
    </row>
    <row r="197" spans="1:19">
      <c r="A197" s="5" t="s">
        <v>447</v>
      </c>
      <c r="B197" s="7" t="s">
        <v>475</v>
      </c>
      <c r="C197" s="7" t="s">
        <v>492</v>
      </c>
      <c r="D197" s="4">
        <v>30</v>
      </c>
      <c r="E197" s="3">
        <v>40</v>
      </c>
      <c r="G197" s="3">
        <v>100</v>
      </c>
      <c r="H197" s="3">
        <v>2</v>
      </c>
      <c r="I197" s="3">
        <v>179</v>
      </c>
      <c r="J197" s="6" t="s">
        <v>712</v>
      </c>
      <c r="K197" s="3">
        <v>346.15</v>
      </c>
    </row>
    <row r="198" spans="1:19">
      <c r="A198" s="5" t="s">
        <v>448</v>
      </c>
      <c r="B198" s="7" t="s">
        <v>476</v>
      </c>
      <c r="C198" s="7" t="s">
        <v>492</v>
      </c>
      <c r="D198" s="4">
        <v>30</v>
      </c>
      <c r="E198" s="3">
        <v>60</v>
      </c>
      <c r="G198" s="3">
        <v>100</v>
      </c>
      <c r="H198" s="3">
        <v>2</v>
      </c>
      <c r="I198" s="3">
        <v>245</v>
      </c>
      <c r="J198" s="6" t="s">
        <v>713</v>
      </c>
      <c r="K198" s="3">
        <v>487.55</v>
      </c>
    </row>
    <row r="199" spans="1:19">
      <c r="A199" s="5" t="s">
        <v>448</v>
      </c>
      <c r="B199" s="7" t="s">
        <v>476</v>
      </c>
      <c r="C199" s="7" t="s">
        <v>492</v>
      </c>
      <c r="D199" s="4">
        <v>30</v>
      </c>
      <c r="E199" s="3">
        <v>60</v>
      </c>
      <c r="F199" s="3" t="s">
        <v>339</v>
      </c>
      <c r="G199" s="3">
        <v>100</v>
      </c>
      <c r="H199" s="3">
        <v>2</v>
      </c>
      <c r="I199" s="3">
        <v>252</v>
      </c>
      <c r="J199" s="6" t="s">
        <v>713</v>
      </c>
      <c r="K199" s="3">
        <v>497.55</v>
      </c>
    </row>
    <row r="200" spans="1:19">
      <c r="A200" s="5" t="s">
        <v>448</v>
      </c>
      <c r="B200" s="7" t="s">
        <v>476</v>
      </c>
      <c r="C200" s="7" t="s">
        <v>492</v>
      </c>
      <c r="D200" s="4">
        <v>30</v>
      </c>
      <c r="E200" s="2">
        <v>60</v>
      </c>
      <c r="F200" s="3" t="s">
        <v>340</v>
      </c>
      <c r="G200" s="3">
        <v>100</v>
      </c>
      <c r="H200" s="3">
        <v>2</v>
      </c>
      <c r="I200" s="3">
        <v>252</v>
      </c>
      <c r="J200" s="6" t="s">
        <v>713</v>
      </c>
      <c r="K200" s="3">
        <v>497.55</v>
      </c>
    </row>
    <row r="201" spans="1:19">
      <c r="A201" s="5" t="s">
        <v>607</v>
      </c>
      <c r="B201" s="7" t="s">
        <v>608</v>
      </c>
      <c r="C201" s="7" t="s">
        <v>609</v>
      </c>
      <c r="D201" s="4">
        <v>35</v>
      </c>
      <c r="E201" s="3">
        <v>24</v>
      </c>
      <c r="G201" s="3">
        <v>100</v>
      </c>
      <c r="H201" s="3">
        <v>2</v>
      </c>
      <c r="I201" s="3">
        <v>126.5</v>
      </c>
      <c r="J201" s="6" t="s">
        <v>714</v>
      </c>
      <c r="K201" s="3">
        <v>248.77500000000001</v>
      </c>
    </row>
    <row r="202" spans="1:19">
      <c r="A202" s="5" t="s">
        <v>610</v>
      </c>
      <c r="B202" s="7" t="s">
        <v>611</v>
      </c>
      <c r="C202" s="7" t="s">
        <v>609</v>
      </c>
      <c r="D202" s="4">
        <v>35</v>
      </c>
      <c r="E202" s="3">
        <v>36</v>
      </c>
      <c r="G202" s="3">
        <v>100</v>
      </c>
      <c r="H202" s="3">
        <v>2</v>
      </c>
      <c r="I202" s="3">
        <v>179</v>
      </c>
      <c r="J202" s="6" t="s">
        <v>715</v>
      </c>
      <c r="K202" s="3">
        <v>346.15</v>
      </c>
    </row>
    <row r="203" spans="1:19">
      <c r="A203" s="5" t="s">
        <v>612</v>
      </c>
      <c r="B203" s="7" t="s">
        <v>613</v>
      </c>
      <c r="C203" s="7" t="s">
        <v>609</v>
      </c>
      <c r="D203" s="4">
        <v>35</v>
      </c>
      <c r="E203" s="3">
        <v>40</v>
      </c>
      <c r="G203" s="3">
        <v>100</v>
      </c>
      <c r="H203" s="3">
        <v>2</v>
      </c>
      <c r="I203" s="3">
        <v>179</v>
      </c>
      <c r="J203" s="6" t="s">
        <v>716</v>
      </c>
      <c r="K203" s="3">
        <v>346.15</v>
      </c>
      <c r="R203" t="s">
        <v>626</v>
      </c>
      <c r="S203">
        <f>I203-3</f>
        <v>176</v>
      </c>
    </row>
    <row r="204" spans="1:19">
      <c r="A204" s="5" t="s">
        <v>614</v>
      </c>
      <c r="B204" s="7" t="s">
        <v>615</v>
      </c>
      <c r="C204" s="7" t="s">
        <v>609</v>
      </c>
      <c r="D204" s="4">
        <v>35</v>
      </c>
      <c r="E204" s="3">
        <v>60</v>
      </c>
      <c r="G204" s="3">
        <v>100</v>
      </c>
      <c r="H204" s="3">
        <v>2</v>
      </c>
      <c r="I204" s="3">
        <v>245</v>
      </c>
      <c r="J204" s="6" t="s">
        <v>717</v>
      </c>
      <c r="K204" s="3">
        <v>487.55</v>
      </c>
      <c r="R204" t="s">
        <v>627</v>
      </c>
      <c r="S204">
        <f>I204</f>
        <v>245</v>
      </c>
    </row>
    <row r="205" spans="1:19">
      <c r="A205" s="5" t="s">
        <v>614</v>
      </c>
      <c r="B205" s="7" t="s">
        <v>615</v>
      </c>
      <c r="C205" s="7" t="s">
        <v>609</v>
      </c>
      <c r="D205" s="4">
        <v>35</v>
      </c>
      <c r="E205" s="3">
        <v>60</v>
      </c>
      <c r="F205" s="3" t="s">
        <v>339</v>
      </c>
      <c r="G205" s="3">
        <v>100</v>
      </c>
      <c r="H205" s="3">
        <v>2</v>
      </c>
      <c r="I205" s="3">
        <v>252</v>
      </c>
      <c r="J205" s="6" t="s">
        <v>717</v>
      </c>
      <c r="K205" s="3">
        <v>497.55</v>
      </c>
    </row>
    <row r="206" spans="1:19">
      <c r="A206" s="5" t="s">
        <v>614</v>
      </c>
      <c r="B206" s="7" t="s">
        <v>615</v>
      </c>
      <c r="C206" s="7" t="s">
        <v>609</v>
      </c>
      <c r="D206" s="4">
        <v>35</v>
      </c>
      <c r="E206" s="2">
        <v>60</v>
      </c>
      <c r="F206" s="3" t="s">
        <v>340</v>
      </c>
      <c r="G206" s="3">
        <v>100</v>
      </c>
      <c r="H206" s="3">
        <v>2</v>
      </c>
      <c r="I206" s="3">
        <v>252</v>
      </c>
      <c r="J206" s="6" t="s">
        <v>717</v>
      </c>
      <c r="K206" s="3">
        <v>497.55</v>
      </c>
    </row>
    <row r="207" spans="1:19">
      <c r="A207" s="5" t="s">
        <v>449</v>
      </c>
      <c r="B207" s="7" t="s">
        <v>477</v>
      </c>
      <c r="C207" s="7" t="s">
        <v>493</v>
      </c>
      <c r="D207" s="4">
        <v>40</v>
      </c>
      <c r="E207" s="3">
        <v>24</v>
      </c>
      <c r="G207" s="3">
        <v>100</v>
      </c>
      <c r="H207" s="3">
        <v>2</v>
      </c>
      <c r="I207" s="3">
        <v>126.5</v>
      </c>
      <c r="J207" s="6" t="s">
        <v>718</v>
      </c>
      <c r="K207" s="3">
        <v>248.77500000000001</v>
      </c>
    </row>
    <row r="208" spans="1:19">
      <c r="A208" s="5" t="s">
        <v>450</v>
      </c>
      <c r="B208" s="7" t="s">
        <v>478</v>
      </c>
      <c r="C208" s="7" t="s">
        <v>493</v>
      </c>
      <c r="D208" s="4">
        <v>40</v>
      </c>
      <c r="E208" s="3">
        <v>36</v>
      </c>
      <c r="G208" s="3">
        <v>100</v>
      </c>
      <c r="H208" s="3">
        <v>2</v>
      </c>
      <c r="I208" s="3">
        <v>179</v>
      </c>
      <c r="J208" s="6" t="s">
        <v>719</v>
      </c>
      <c r="K208" s="3">
        <v>346.15</v>
      </c>
    </row>
    <row r="209" spans="1:19">
      <c r="A209" s="5" t="s">
        <v>451</v>
      </c>
      <c r="B209" s="7" t="s">
        <v>479</v>
      </c>
      <c r="C209" s="7" t="s">
        <v>493</v>
      </c>
      <c r="D209" s="4">
        <v>40</v>
      </c>
      <c r="E209" s="3">
        <v>40</v>
      </c>
      <c r="G209" s="3">
        <v>100</v>
      </c>
      <c r="H209" s="3">
        <v>2</v>
      </c>
      <c r="I209" s="3">
        <v>179</v>
      </c>
      <c r="J209" s="6" t="s">
        <v>720</v>
      </c>
      <c r="K209" s="3">
        <v>346.15</v>
      </c>
      <c r="R209" t="s">
        <v>624</v>
      </c>
      <c r="S209">
        <f>I209-3</f>
        <v>176</v>
      </c>
    </row>
    <row r="210" spans="1:19">
      <c r="A210" s="5" t="s">
        <v>452</v>
      </c>
      <c r="B210" s="7" t="s">
        <v>480</v>
      </c>
      <c r="C210" s="7" t="s">
        <v>493</v>
      </c>
      <c r="D210" s="4">
        <v>40</v>
      </c>
      <c r="E210" s="3">
        <v>60</v>
      </c>
      <c r="G210" s="3">
        <v>100</v>
      </c>
      <c r="H210" s="3">
        <v>2</v>
      </c>
      <c r="I210" s="3">
        <v>245</v>
      </c>
      <c r="J210" s="6" t="s">
        <v>721</v>
      </c>
      <c r="K210" s="3">
        <v>487.55</v>
      </c>
      <c r="R210" t="s">
        <v>625</v>
      </c>
      <c r="S210">
        <f>I210</f>
        <v>245</v>
      </c>
    </row>
    <row r="211" spans="1:19">
      <c r="A211" s="5" t="s">
        <v>452</v>
      </c>
      <c r="B211" s="7" t="s">
        <v>480</v>
      </c>
      <c r="C211" s="7" t="s">
        <v>493</v>
      </c>
      <c r="D211" s="4">
        <v>40</v>
      </c>
      <c r="E211" s="3">
        <v>60</v>
      </c>
      <c r="F211" s="3" t="s">
        <v>339</v>
      </c>
      <c r="G211" s="3">
        <v>100</v>
      </c>
      <c r="H211" s="3">
        <v>2</v>
      </c>
      <c r="I211" s="3">
        <v>252</v>
      </c>
      <c r="J211" s="6" t="s">
        <v>721</v>
      </c>
      <c r="K211" s="3">
        <v>497.55</v>
      </c>
    </row>
    <row r="212" spans="1:19">
      <c r="A212" s="5" t="s">
        <v>452</v>
      </c>
      <c r="B212" s="7" t="s">
        <v>480</v>
      </c>
      <c r="C212" s="7" t="s">
        <v>493</v>
      </c>
      <c r="D212" s="4">
        <v>40</v>
      </c>
      <c r="E212" s="2">
        <v>60</v>
      </c>
      <c r="F212" s="3" t="s">
        <v>340</v>
      </c>
      <c r="G212" s="3">
        <v>100</v>
      </c>
      <c r="H212" s="3">
        <v>2</v>
      </c>
      <c r="I212" s="3">
        <v>252</v>
      </c>
      <c r="J212" s="6" t="s">
        <v>721</v>
      </c>
      <c r="K212" s="3">
        <v>497.55</v>
      </c>
    </row>
    <row r="213" spans="1:19">
      <c r="A213" s="5" t="s">
        <v>453</v>
      </c>
      <c r="B213" s="7" t="s">
        <v>481</v>
      </c>
      <c r="C213" s="7" t="s">
        <v>494</v>
      </c>
      <c r="D213" s="4">
        <v>50</v>
      </c>
      <c r="E213" s="3">
        <v>24</v>
      </c>
      <c r="G213" s="3">
        <v>100</v>
      </c>
      <c r="H213" s="3">
        <v>2</v>
      </c>
      <c r="I213" s="3">
        <v>130.5</v>
      </c>
      <c r="J213" s="6" t="s">
        <v>722</v>
      </c>
      <c r="K213" s="3">
        <v>264.82499999999999</v>
      </c>
    </row>
    <row r="214" spans="1:19">
      <c r="A214" s="5" t="s">
        <v>454</v>
      </c>
      <c r="B214" s="7" t="s">
        <v>482</v>
      </c>
      <c r="C214" s="7" t="s">
        <v>494</v>
      </c>
      <c r="D214" s="4">
        <v>50</v>
      </c>
      <c r="E214" s="3">
        <v>36</v>
      </c>
      <c r="G214" s="3">
        <v>100</v>
      </c>
      <c r="H214" s="3">
        <v>2</v>
      </c>
      <c r="I214" s="3">
        <v>185</v>
      </c>
      <c r="J214" s="6" t="s">
        <v>723</v>
      </c>
      <c r="K214" s="3">
        <v>367.55</v>
      </c>
    </row>
    <row r="215" spans="1:19">
      <c r="A215" s="5" t="s">
        <v>455</v>
      </c>
      <c r="B215" s="7" t="s">
        <v>483</v>
      </c>
      <c r="C215" s="7" t="s">
        <v>494</v>
      </c>
      <c r="D215" s="4">
        <v>50</v>
      </c>
      <c r="E215" s="3">
        <v>40</v>
      </c>
      <c r="G215" s="3">
        <v>100</v>
      </c>
      <c r="H215" s="3">
        <v>2</v>
      </c>
      <c r="I215" s="3">
        <v>185</v>
      </c>
      <c r="J215" s="6" t="s">
        <v>724</v>
      </c>
      <c r="K215" s="3">
        <v>367.55</v>
      </c>
      <c r="R215" t="s">
        <v>622</v>
      </c>
      <c r="S215">
        <f>I215-3</f>
        <v>182</v>
      </c>
    </row>
    <row r="216" spans="1:19">
      <c r="A216" s="5" t="s">
        <v>456</v>
      </c>
      <c r="B216" s="7" t="s">
        <v>484</v>
      </c>
      <c r="C216" s="7" t="s">
        <v>494</v>
      </c>
      <c r="D216" s="4">
        <v>50</v>
      </c>
      <c r="E216" s="3">
        <v>60</v>
      </c>
      <c r="G216" s="3">
        <v>100</v>
      </c>
      <c r="H216" s="3">
        <v>2</v>
      </c>
      <c r="I216" s="3">
        <v>254</v>
      </c>
      <c r="J216" s="6" t="s">
        <v>725</v>
      </c>
      <c r="K216" s="3">
        <v>519.65</v>
      </c>
      <c r="R216" t="s">
        <v>623</v>
      </c>
      <c r="S216">
        <f>I216</f>
        <v>254</v>
      </c>
    </row>
    <row r="217" spans="1:19">
      <c r="A217" s="5" t="s">
        <v>456</v>
      </c>
      <c r="B217" s="7" t="s">
        <v>484</v>
      </c>
      <c r="C217" s="7" t="s">
        <v>494</v>
      </c>
      <c r="D217" s="4">
        <v>50</v>
      </c>
      <c r="E217" s="3">
        <v>60</v>
      </c>
      <c r="F217" s="3" t="s">
        <v>339</v>
      </c>
      <c r="G217" s="3">
        <v>100</v>
      </c>
      <c r="H217" s="3">
        <v>2</v>
      </c>
      <c r="I217" s="3">
        <v>261</v>
      </c>
      <c r="J217" s="6" t="s">
        <v>725</v>
      </c>
      <c r="K217" s="3">
        <v>529.65</v>
      </c>
    </row>
    <row r="218" spans="1:19">
      <c r="A218" s="5" t="s">
        <v>456</v>
      </c>
      <c r="B218" s="7" t="s">
        <v>484</v>
      </c>
      <c r="C218" s="7" t="s">
        <v>494</v>
      </c>
      <c r="D218" s="4">
        <v>50</v>
      </c>
      <c r="E218" s="2">
        <v>60</v>
      </c>
      <c r="F218" s="3" t="s">
        <v>340</v>
      </c>
      <c r="G218" s="3">
        <v>100</v>
      </c>
      <c r="H218" s="3">
        <v>2</v>
      </c>
      <c r="I218" s="3">
        <v>261</v>
      </c>
      <c r="J218" s="6" t="s">
        <v>725</v>
      </c>
      <c r="K218" s="3">
        <v>529.65</v>
      </c>
    </row>
    <row r="219" spans="1:19">
      <c r="A219" s="5" t="s">
        <v>457</v>
      </c>
      <c r="B219" s="7" t="s">
        <v>485</v>
      </c>
      <c r="C219" s="7" t="s">
        <v>495</v>
      </c>
      <c r="D219" s="4">
        <v>70</v>
      </c>
      <c r="E219" s="3">
        <v>24</v>
      </c>
      <c r="G219" s="3">
        <v>100</v>
      </c>
      <c r="H219" s="3">
        <v>2</v>
      </c>
      <c r="I219" s="3">
        <v>124.5</v>
      </c>
      <c r="J219" s="6" t="s">
        <v>726</v>
      </c>
      <c r="K219" s="3">
        <v>264.82499999999999</v>
      </c>
    </row>
    <row r="220" spans="1:19">
      <c r="A220" s="5" t="s">
        <v>458</v>
      </c>
      <c r="B220" s="7" t="s">
        <v>486</v>
      </c>
      <c r="C220" s="7" t="s">
        <v>495</v>
      </c>
      <c r="D220" s="4">
        <v>70</v>
      </c>
      <c r="E220" s="3">
        <v>36</v>
      </c>
      <c r="G220" s="3">
        <v>100</v>
      </c>
      <c r="H220" s="3">
        <v>2</v>
      </c>
      <c r="I220" s="3">
        <v>178</v>
      </c>
      <c r="J220" s="6" t="s">
        <v>727</v>
      </c>
      <c r="K220" s="3">
        <v>367.55</v>
      </c>
    </row>
    <row r="221" spans="1:19">
      <c r="A221" s="5" t="s">
        <v>459</v>
      </c>
      <c r="B221" s="7" t="s">
        <v>487</v>
      </c>
      <c r="C221" s="7" t="s">
        <v>495</v>
      </c>
      <c r="D221" s="4">
        <v>70</v>
      </c>
      <c r="E221" s="3">
        <v>40</v>
      </c>
      <c r="G221" s="3">
        <v>100</v>
      </c>
      <c r="H221" s="3">
        <v>2</v>
      </c>
      <c r="I221" s="3">
        <v>178</v>
      </c>
      <c r="J221" s="6" t="s">
        <v>728</v>
      </c>
      <c r="K221" s="3">
        <v>367.55</v>
      </c>
      <c r="R221" t="s">
        <v>620</v>
      </c>
      <c r="S221">
        <f>I221-3</f>
        <v>175</v>
      </c>
    </row>
    <row r="222" spans="1:19">
      <c r="A222" s="5" t="s">
        <v>460</v>
      </c>
      <c r="B222" s="7" t="s">
        <v>488</v>
      </c>
      <c r="C222" s="7" t="s">
        <v>495</v>
      </c>
      <c r="D222" s="4">
        <v>70</v>
      </c>
      <c r="E222" s="3">
        <v>60</v>
      </c>
      <c r="G222" s="3">
        <v>100</v>
      </c>
      <c r="H222" s="3">
        <v>2</v>
      </c>
      <c r="I222" s="3">
        <v>242</v>
      </c>
      <c r="J222" s="6" t="s">
        <v>729</v>
      </c>
      <c r="K222" s="3">
        <v>519.65</v>
      </c>
      <c r="R222" t="s">
        <v>621</v>
      </c>
      <c r="S222">
        <f>I222</f>
        <v>242</v>
      </c>
    </row>
    <row r="223" spans="1:19">
      <c r="A223" s="5" t="s">
        <v>460</v>
      </c>
      <c r="B223" s="7" t="s">
        <v>488</v>
      </c>
      <c r="C223" s="7" t="s">
        <v>495</v>
      </c>
      <c r="D223" s="4">
        <v>70</v>
      </c>
      <c r="E223" s="3">
        <v>60</v>
      </c>
      <c r="F223" s="3" t="s">
        <v>339</v>
      </c>
      <c r="G223" s="3">
        <v>100</v>
      </c>
      <c r="H223" s="3">
        <v>2</v>
      </c>
      <c r="I223" s="3">
        <v>249</v>
      </c>
      <c r="J223" s="6" t="s">
        <v>729</v>
      </c>
      <c r="K223" s="3">
        <v>529.65</v>
      </c>
    </row>
    <row r="224" spans="1:19">
      <c r="A224" s="5" t="s">
        <v>460</v>
      </c>
      <c r="B224" s="7" t="s">
        <v>488</v>
      </c>
      <c r="C224" s="7" t="s">
        <v>495</v>
      </c>
      <c r="D224" s="4">
        <v>70</v>
      </c>
      <c r="E224" s="2">
        <v>60</v>
      </c>
      <c r="F224" s="3" t="s">
        <v>340</v>
      </c>
      <c r="G224" s="3">
        <v>100</v>
      </c>
      <c r="H224" s="3">
        <v>2</v>
      </c>
      <c r="I224" s="3">
        <v>249</v>
      </c>
      <c r="J224" s="6" t="s">
        <v>729</v>
      </c>
      <c r="K224" s="3">
        <v>529.65</v>
      </c>
    </row>
    <row r="225" spans="1:19">
      <c r="A225" s="5" t="s">
        <v>200</v>
      </c>
      <c r="B225" s="6" t="s">
        <v>208</v>
      </c>
      <c r="G225" s="3">
        <v>50</v>
      </c>
      <c r="I225" s="2">
        <v>450</v>
      </c>
      <c r="J225" s="6" t="s">
        <v>204</v>
      </c>
      <c r="K225" s="2">
        <v>595</v>
      </c>
      <c r="L225" s="5" t="s">
        <v>642</v>
      </c>
      <c r="M225" s="3">
        <v>650</v>
      </c>
      <c r="O225" s="3">
        <v>635</v>
      </c>
      <c r="R225" s="5" t="s">
        <v>642</v>
      </c>
      <c r="S225">
        <v>450</v>
      </c>
    </row>
    <row r="226" spans="1:19">
      <c r="A226" s="5" t="s">
        <v>852</v>
      </c>
      <c r="B226" s="17" t="s">
        <v>853</v>
      </c>
      <c r="G226" s="3">
        <v>50</v>
      </c>
      <c r="I226" s="2">
        <v>520</v>
      </c>
      <c r="J226" s="17" t="s">
        <v>854</v>
      </c>
      <c r="K226" s="2">
        <v>685</v>
      </c>
      <c r="L226" s="5"/>
      <c r="O226" s="3">
        <v>760</v>
      </c>
      <c r="R226" s="5" t="s">
        <v>855</v>
      </c>
      <c r="S226">
        <v>520</v>
      </c>
    </row>
    <row r="227" spans="1:19">
      <c r="A227" s="5" t="s">
        <v>201</v>
      </c>
      <c r="B227" s="6" t="s">
        <v>209</v>
      </c>
      <c r="G227" s="3">
        <v>50</v>
      </c>
      <c r="I227" s="2">
        <v>480</v>
      </c>
      <c r="J227" s="6" t="s">
        <v>205</v>
      </c>
      <c r="K227" s="2">
        <v>630</v>
      </c>
      <c r="L227" s="5" t="s">
        <v>643</v>
      </c>
      <c r="M227" s="3">
        <v>700</v>
      </c>
      <c r="O227" s="3">
        <v>675</v>
      </c>
      <c r="R227" s="5" t="s">
        <v>643</v>
      </c>
      <c r="S227">
        <v>480</v>
      </c>
    </row>
    <row r="228" spans="1:19">
      <c r="A228" s="5" t="s">
        <v>202</v>
      </c>
      <c r="B228" s="6" t="s">
        <v>210</v>
      </c>
      <c r="G228" s="3">
        <v>50</v>
      </c>
      <c r="I228" s="2">
        <v>510</v>
      </c>
      <c r="J228" s="6" t="s">
        <v>206</v>
      </c>
      <c r="K228" s="2">
        <v>710</v>
      </c>
      <c r="L228" s="5" t="s">
        <v>644</v>
      </c>
      <c r="M228" s="3">
        <v>775</v>
      </c>
      <c r="O228" s="3">
        <v>760</v>
      </c>
      <c r="R228" s="5" t="s">
        <v>644</v>
      </c>
      <c r="S228">
        <v>480</v>
      </c>
    </row>
    <row r="229" spans="1:19">
      <c r="A229" s="5" t="s">
        <v>203</v>
      </c>
      <c r="B229" s="6" t="s">
        <v>211</v>
      </c>
      <c r="G229" s="3">
        <v>50</v>
      </c>
      <c r="I229" s="2">
        <v>480</v>
      </c>
      <c r="J229" s="6" t="s">
        <v>207</v>
      </c>
      <c r="K229" s="2">
        <v>675</v>
      </c>
      <c r="L229" s="5" t="s">
        <v>645</v>
      </c>
      <c r="M229" s="3">
        <v>735</v>
      </c>
      <c r="O229" s="3">
        <v>725</v>
      </c>
      <c r="R229" s="5" t="s">
        <v>645</v>
      </c>
      <c r="S229">
        <v>510</v>
      </c>
    </row>
    <row r="230" spans="1:19">
      <c r="A230" s="5" t="s">
        <v>427</v>
      </c>
      <c r="B230" s="6" t="s">
        <v>347</v>
      </c>
      <c r="C230" s="6" t="s">
        <v>489</v>
      </c>
      <c r="D230" s="2">
        <v>5</v>
      </c>
      <c r="E230" s="2">
        <v>40</v>
      </c>
      <c r="F230" s="2"/>
      <c r="G230" s="3">
        <v>100</v>
      </c>
      <c r="H230" s="3">
        <v>1.5</v>
      </c>
      <c r="I230" s="2">
        <v>169.3</v>
      </c>
      <c r="P230" s="6" t="s">
        <v>881</v>
      </c>
      <c r="Q230" s="2">
        <v>280</v>
      </c>
    </row>
    <row r="231" spans="1:19">
      <c r="A231" s="5" t="s">
        <v>791</v>
      </c>
      <c r="B231" s="6" t="s">
        <v>347</v>
      </c>
      <c r="C231" s="6" t="s">
        <v>489</v>
      </c>
      <c r="D231" s="2">
        <v>5</v>
      </c>
      <c r="E231" s="2">
        <v>40</v>
      </c>
      <c r="F231" s="2"/>
      <c r="G231" s="3">
        <v>50</v>
      </c>
      <c r="H231" s="3">
        <v>1.5</v>
      </c>
      <c r="I231" s="2">
        <v>93.65</v>
      </c>
      <c r="P231" s="17" t="s">
        <v>882</v>
      </c>
      <c r="Q231" s="2">
        <v>150</v>
      </c>
    </row>
    <row r="232" spans="1:19">
      <c r="A232" s="5" t="s">
        <v>792</v>
      </c>
      <c r="B232" s="6" t="s">
        <v>348</v>
      </c>
      <c r="C232" s="6" t="s">
        <v>489</v>
      </c>
      <c r="D232" s="2">
        <v>5</v>
      </c>
      <c r="E232" s="2">
        <v>60</v>
      </c>
      <c r="F232" s="2"/>
      <c r="G232" s="3">
        <v>50</v>
      </c>
      <c r="H232" s="3">
        <v>1.5</v>
      </c>
      <c r="I232" s="2">
        <v>129.35</v>
      </c>
      <c r="P232" s="16" t="s">
        <v>883</v>
      </c>
      <c r="Q232" s="2">
        <v>215</v>
      </c>
    </row>
    <row r="233" spans="1:19">
      <c r="A233" s="5" t="s">
        <v>428</v>
      </c>
      <c r="B233" s="6" t="s">
        <v>349</v>
      </c>
      <c r="C233" s="6" t="s">
        <v>490</v>
      </c>
      <c r="D233" s="2">
        <v>15</v>
      </c>
      <c r="E233" s="2">
        <v>40</v>
      </c>
      <c r="F233" s="2"/>
      <c r="G233" s="3">
        <v>100</v>
      </c>
      <c r="H233" s="3">
        <v>1.5</v>
      </c>
      <c r="I233" s="2">
        <v>169.3</v>
      </c>
      <c r="P233" s="6" t="s">
        <v>884</v>
      </c>
      <c r="Q233" s="2">
        <v>280</v>
      </c>
    </row>
    <row r="234" spans="1:19">
      <c r="A234" s="5" t="s">
        <v>847</v>
      </c>
      <c r="B234" s="6" t="s">
        <v>349</v>
      </c>
      <c r="C234" s="6" t="s">
        <v>490</v>
      </c>
      <c r="D234" s="2">
        <v>15</v>
      </c>
      <c r="E234" s="2">
        <v>40</v>
      </c>
      <c r="F234" s="2"/>
      <c r="G234" s="3">
        <v>50</v>
      </c>
      <c r="H234" s="3">
        <v>1.5</v>
      </c>
      <c r="I234" s="2">
        <v>93.65</v>
      </c>
      <c r="P234" s="17" t="s">
        <v>885</v>
      </c>
      <c r="Q234" s="2">
        <v>150</v>
      </c>
    </row>
    <row r="235" spans="1:19">
      <c r="A235" s="5" t="s">
        <v>793</v>
      </c>
      <c r="B235" s="6" t="s">
        <v>350</v>
      </c>
      <c r="C235" s="6" t="s">
        <v>490</v>
      </c>
      <c r="D235" s="2">
        <v>15</v>
      </c>
      <c r="E235" s="2">
        <v>60</v>
      </c>
      <c r="F235" s="2"/>
      <c r="G235" s="3">
        <v>50</v>
      </c>
      <c r="H235" s="3">
        <v>1.5</v>
      </c>
      <c r="I235" s="2">
        <v>129.35</v>
      </c>
      <c r="P235" s="16" t="s">
        <v>886</v>
      </c>
      <c r="Q235" s="2">
        <v>215</v>
      </c>
    </row>
    <row r="236" spans="1:19">
      <c r="A236" s="5" t="s">
        <v>429</v>
      </c>
      <c r="B236" s="6" t="s">
        <v>351</v>
      </c>
      <c r="C236" s="6" t="s">
        <v>491</v>
      </c>
      <c r="D236" s="2">
        <v>20</v>
      </c>
      <c r="E236" s="2">
        <v>40</v>
      </c>
      <c r="F236" s="2"/>
      <c r="G236" s="3">
        <v>100</v>
      </c>
      <c r="H236" s="3">
        <v>1.5</v>
      </c>
      <c r="I236" s="2">
        <v>169.3</v>
      </c>
      <c r="P236" s="6" t="s">
        <v>887</v>
      </c>
      <c r="Q236" s="2">
        <v>280</v>
      </c>
    </row>
    <row r="237" spans="1:19">
      <c r="A237" s="5" t="s">
        <v>848</v>
      </c>
      <c r="B237" s="6" t="s">
        <v>351</v>
      </c>
      <c r="C237" s="6" t="s">
        <v>491</v>
      </c>
      <c r="D237" s="2">
        <v>20</v>
      </c>
      <c r="E237" s="2">
        <v>40</v>
      </c>
      <c r="F237" s="2"/>
      <c r="G237" s="3">
        <v>50</v>
      </c>
      <c r="H237" s="3">
        <v>1.5</v>
      </c>
      <c r="I237" s="2">
        <v>93.65</v>
      </c>
      <c r="P237" s="17" t="s">
        <v>888</v>
      </c>
      <c r="Q237" s="2">
        <v>150</v>
      </c>
    </row>
    <row r="238" spans="1:19">
      <c r="A238" s="5" t="s">
        <v>843</v>
      </c>
      <c r="B238" s="6" t="s">
        <v>352</v>
      </c>
      <c r="C238" s="6" t="s">
        <v>491</v>
      </c>
      <c r="D238" s="2">
        <v>20</v>
      </c>
      <c r="E238" s="2">
        <v>60</v>
      </c>
      <c r="F238" s="2"/>
      <c r="G238" s="3">
        <v>50</v>
      </c>
      <c r="H238" s="3">
        <v>1.5</v>
      </c>
      <c r="I238" s="2">
        <v>129.35</v>
      </c>
      <c r="P238" s="16" t="s">
        <v>889</v>
      </c>
      <c r="Q238" s="2">
        <v>215</v>
      </c>
    </row>
    <row r="239" spans="1:19">
      <c r="A239" s="5" t="s">
        <v>430</v>
      </c>
      <c r="B239" s="6" t="s">
        <v>353</v>
      </c>
      <c r="C239" s="6" t="s">
        <v>609</v>
      </c>
      <c r="D239" s="2">
        <v>35</v>
      </c>
      <c r="E239" s="2">
        <v>40</v>
      </c>
      <c r="F239" s="2"/>
      <c r="G239" s="3">
        <v>100</v>
      </c>
      <c r="H239" s="3">
        <v>1.5</v>
      </c>
      <c r="I239" s="2">
        <v>169.3</v>
      </c>
      <c r="P239" s="17" t="s">
        <v>890</v>
      </c>
      <c r="Q239" s="2">
        <v>280</v>
      </c>
    </row>
    <row r="240" spans="1:19">
      <c r="A240" s="5" t="s">
        <v>849</v>
      </c>
      <c r="B240" s="6" t="s">
        <v>353</v>
      </c>
      <c r="C240" s="6" t="s">
        <v>609</v>
      </c>
      <c r="D240" s="2">
        <v>35</v>
      </c>
      <c r="E240" s="2">
        <v>40</v>
      </c>
      <c r="F240" s="2"/>
      <c r="G240" s="3">
        <v>50</v>
      </c>
      <c r="H240" s="3">
        <v>1.5</v>
      </c>
      <c r="I240" s="2">
        <v>93.65</v>
      </c>
      <c r="P240" s="17" t="s">
        <v>891</v>
      </c>
      <c r="Q240" s="2">
        <v>150</v>
      </c>
    </row>
    <row r="241" spans="1:17">
      <c r="A241" s="5" t="s">
        <v>844</v>
      </c>
      <c r="B241" s="6" t="s">
        <v>354</v>
      </c>
      <c r="C241" s="6" t="s">
        <v>609</v>
      </c>
      <c r="D241" s="2">
        <v>35</v>
      </c>
      <c r="E241" s="2">
        <v>60</v>
      </c>
      <c r="F241" s="2"/>
      <c r="G241" s="3">
        <v>50</v>
      </c>
      <c r="H241" s="3">
        <v>1.5</v>
      </c>
      <c r="I241" s="2">
        <v>129.35</v>
      </c>
      <c r="P241" s="16" t="s">
        <v>892</v>
      </c>
      <c r="Q241" s="2">
        <v>215</v>
      </c>
    </row>
    <row r="242" spans="1:17">
      <c r="A242" s="5" t="s">
        <v>431</v>
      </c>
      <c r="B242" s="6" t="s">
        <v>355</v>
      </c>
      <c r="C242" s="6" t="s">
        <v>494</v>
      </c>
      <c r="D242" s="2">
        <v>50</v>
      </c>
      <c r="E242" s="2">
        <v>40</v>
      </c>
      <c r="F242" s="2"/>
      <c r="G242" s="3">
        <v>100</v>
      </c>
      <c r="H242" s="3">
        <v>1.5</v>
      </c>
      <c r="I242" s="2">
        <v>175.3</v>
      </c>
      <c r="P242" s="6" t="s">
        <v>893</v>
      </c>
      <c r="Q242" s="2">
        <v>280</v>
      </c>
    </row>
    <row r="243" spans="1:17">
      <c r="A243" s="5" t="s">
        <v>850</v>
      </c>
      <c r="B243" s="6" t="s">
        <v>355</v>
      </c>
      <c r="C243" s="6" t="s">
        <v>494</v>
      </c>
      <c r="D243" s="2">
        <v>50</v>
      </c>
      <c r="E243" s="2">
        <v>40</v>
      </c>
      <c r="F243" s="2"/>
      <c r="G243" s="3">
        <v>50</v>
      </c>
      <c r="H243" s="3">
        <v>1.5</v>
      </c>
      <c r="I243" s="2">
        <v>96.65</v>
      </c>
      <c r="P243" s="17" t="s">
        <v>894</v>
      </c>
      <c r="Q243" s="2">
        <v>150</v>
      </c>
    </row>
    <row r="244" spans="1:17">
      <c r="A244" s="5" t="s">
        <v>845</v>
      </c>
      <c r="B244" s="6" t="s">
        <v>356</v>
      </c>
      <c r="C244" s="6" t="s">
        <v>494</v>
      </c>
      <c r="D244" s="2">
        <v>50</v>
      </c>
      <c r="E244" s="2">
        <v>60</v>
      </c>
      <c r="F244" s="2"/>
      <c r="G244" s="3">
        <v>50</v>
      </c>
      <c r="H244" s="3">
        <v>1.5</v>
      </c>
      <c r="I244" s="2">
        <v>133.80000000000001</v>
      </c>
      <c r="P244" s="16" t="s">
        <v>895</v>
      </c>
      <c r="Q244" s="2">
        <v>215</v>
      </c>
    </row>
    <row r="245" spans="1:17">
      <c r="A245" s="5" t="s">
        <v>432</v>
      </c>
      <c r="B245" s="6" t="s">
        <v>357</v>
      </c>
      <c r="C245" s="6" t="s">
        <v>495</v>
      </c>
      <c r="D245" s="2">
        <v>70</v>
      </c>
      <c r="E245" s="2">
        <v>40</v>
      </c>
      <c r="F245" s="2"/>
      <c r="G245" s="3">
        <v>100</v>
      </c>
      <c r="H245" s="3">
        <v>1.5</v>
      </c>
      <c r="I245" s="2">
        <v>168.3</v>
      </c>
      <c r="P245" s="6" t="s">
        <v>896</v>
      </c>
      <c r="Q245" s="2">
        <v>280</v>
      </c>
    </row>
    <row r="246" spans="1:17">
      <c r="A246" s="5" t="s">
        <v>851</v>
      </c>
      <c r="B246" s="6" t="s">
        <v>357</v>
      </c>
      <c r="C246" s="6" t="s">
        <v>495</v>
      </c>
      <c r="D246" s="2">
        <v>70</v>
      </c>
      <c r="E246" s="2">
        <v>40</v>
      </c>
      <c r="F246" s="2"/>
      <c r="G246" s="3">
        <v>50</v>
      </c>
      <c r="H246" s="3">
        <v>1.5</v>
      </c>
      <c r="I246" s="2">
        <v>93.15</v>
      </c>
      <c r="P246" s="17" t="s">
        <v>897</v>
      </c>
      <c r="Q246" s="2">
        <v>150</v>
      </c>
    </row>
    <row r="247" spans="1:17">
      <c r="A247" s="5" t="s">
        <v>846</v>
      </c>
      <c r="B247" s="6" t="s">
        <v>358</v>
      </c>
      <c r="C247" s="6" t="s">
        <v>495</v>
      </c>
      <c r="D247" s="2">
        <v>70</v>
      </c>
      <c r="E247" s="2">
        <v>60</v>
      </c>
      <c r="F247" s="2"/>
      <c r="G247" s="3">
        <v>50</v>
      </c>
      <c r="H247" s="3">
        <v>1.5</v>
      </c>
      <c r="I247" s="2">
        <v>127.85</v>
      </c>
      <c r="P247" s="16" t="s">
        <v>898</v>
      </c>
      <c r="Q247" s="2">
        <v>215</v>
      </c>
    </row>
    <row r="248" spans="1:17">
      <c r="A248" s="5" t="s">
        <v>861</v>
      </c>
      <c r="B248" s="6" t="s">
        <v>862</v>
      </c>
      <c r="C248" s="6" t="s">
        <v>870</v>
      </c>
      <c r="D248" s="2">
        <v>2</v>
      </c>
      <c r="E248" s="2">
        <v>24</v>
      </c>
      <c r="F248" s="2"/>
      <c r="G248" s="3">
        <v>100</v>
      </c>
      <c r="H248" s="3">
        <v>1.5</v>
      </c>
      <c r="I248" s="2">
        <v>56</v>
      </c>
      <c r="P248" s="6" t="s">
        <v>899</v>
      </c>
      <c r="Q248" s="2">
        <v>69</v>
      </c>
    </row>
    <row r="249" spans="1:17">
      <c r="A249" s="5" t="s">
        <v>863</v>
      </c>
      <c r="B249" s="6" t="s">
        <v>864</v>
      </c>
      <c r="C249" s="6" t="s">
        <v>870</v>
      </c>
      <c r="D249" s="2">
        <v>2</v>
      </c>
      <c r="E249" s="2">
        <v>36</v>
      </c>
      <c r="F249" s="2"/>
      <c r="G249" s="3">
        <v>100</v>
      </c>
      <c r="H249" s="3">
        <v>1.5</v>
      </c>
      <c r="I249" s="2">
        <v>80.78</v>
      </c>
      <c r="P249" s="6" t="s">
        <v>900</v>
      </c>
      <c r="Q249" s="2">
        <v>103</v>
      </c>
    </row>
    <row r="250" spans="1:17">
      <c r="A250" s="5" t="s">
        <v>865</v>
      </c>
      <c r="B250" s="6" t="s">
        <v>866</v>
      </c>
      <c r="C250" s="6" t="s">
        <v>870</v>
      </c>
      <c r="D250" s="2">
        <v>2</v>
      </c>
      <c r="E250" s="2">
        <v>40</v>
      </c>
      <c r="F250" s="2"/>
      <c r="G250" s="3">
        <v>100</v>
      </c>
      <c r="H250" s="3">
        <v>1.5</v>
      </c>
      <c r="I250" s="2">
        <v>80.78</v>
      </c>
      <c r="P250" s="6" t="s">
        <v>901</v>
      </c>
      <c r="Q250" s="2">
        <v>103</v>
      </c>
    </row>
    <row r="251" spans="1:17">
      <c r="A251" s="5" t="s">
        <v>867</v>
      </c>
      <c r="B251" s="6" t="s">
        <v>868</v>
      </c>
      <c r="C251" s="6" t="s">
        <v>870</v>
      </c>
      <c r="D251" s="2">
        <v>2</v>
      </c>
      <c r="E251" s="3">
        <v>60</v>
      </c>
      <c r="F251" s="3" t="s">
        <v>339</v>
      </c>
      <c r="G251" s="3">
        <v>100</v>
      </c>
      <c r="H251" s="3">
        <v>1.5</v>
      </c>
      <c r="I251" s="2">
        <v>111</v>
      </c>
      <c r="P251" s="6" t="s">
        <v>902</v>
      </c>
      <c r="Q251" s="2">
        <v>138</v>
      </c>
    </row>
    <row r="252" spans="1:17">
      <c r="A252" s="5" t="s">
        <v>867</v>
      </c>
      <c r="B252" s="6" t="s">
        <v>868</v>
      </c>
      <c r="C252" s="6" t="s">
        <v>870</v>
      </c>
      <c r="D252" s="2">
        <v>2</v>
      </c>
      <c r="E252" s="2">
        <v>60</v>
      </c>
      <c r="F252" s="3" t="s">
        <v>340</v>
      </c>
      <c r="G252" s="3">
        <v>100</v>
      </c>
      <c r="H252" s="3">
        <v>1.5</v>
      </c>
      <c r="I252" s="2">
        <v>111</v>
      </c>
      <c r="P252" s="6" t="s">
        <v>902</v>
      </c>
      <c r="Q252" s="2">
        <v>138</v>
      </c>
    </row>
    <row r="253" spans="1:17">
      <c r="A253" s="5" t="s">
        <v>867</v>
      </c>
      <c r="B253" s="6" t="s">
        <v>868</v>
      </c>
      <c r="C253" s="6" t="s">
        <v>870</v>
      </c>
      <c r="D253" s="2">
        <v>2</v>
      </c>
      <c r="E253" s="2">
        <v>60</v>
      </c>
      <c r="F253" s="2" t="s">
        <v>341</v>
      </c>
      <c r="G253" s="3">
        <v>100</v>
      </c>
      <c r="H253" s="3">
        <v>1.5</v>
      </c>
      <c r="I253" s="2">
        <v>115</v>
      </c>
      <c r="P253" s="6" t="s">
        <v>902</v>
      </c>
      <c r="Q253" s="2">
        <v>146.4</v>
      </c>
    </row>
    <row r="254" spans="1:17">
      <c r="A254" s="5" t="s">
        <v>867</v>
      </c>
      <c r="B254" s="6" t="s">
        <v>868</v>
      </c>
      <c r="C254" s="6" t="s">
        <v>870</v>
      </c>
      <c r="D254" s="2">
        <v>2</v>
      </c>
      <c r="E254" s="2">
        <v>60</v>
      </c>
      <c r="F254" s="2" t="s">
        <v>342</v>
      </c>
      <c r="G254" s="3">
        <v>100</v>
      </c>
      <c r="H254" s="3">
        <v>1.5</v>
      </c>
      <c r="I254" s="2">
        <v>115</v>
      </c>
      <c r="P254" s="6" t="s">
        <v>902</v>
      </c>
      <c r="Q254" s="2">
        <v>146.4</v>
      </c>
    </row>
    <row r="255" spans="1:17">
      <c r="A255" s="5" t="s">
        <v>867</v>
      </c>
      <c r="B255" s="6" t="s">
        <v>868</v>
      </c>
      <c r="C255" s="6" t="s">
        <v>870</v>
      </c>
      <c r="D255" s="2">
        <v>2</v>
      </c>
      <c r="E255" s="2">
        <v>60</v>
      </c>
      <c r="F255" s="2" t="s">
        <v>343</v>
      </c>
      <c r="G255" s="3">
        <v>100</v>
      </c>
      <c r="H255" s="3">
        <v>1.5</v>
      </c>
      <c r="I255" s="2">
        <v>120</v>
      </c>
      <c r="P255" s="6" t="s">
        <v>902</v>
      </c>
      <c r="Q255" s="2">
        <v>154.80000000000001</v>
      </c>
    </row>
    <row r="256" spans="1:17">
      <c r="A256" s="5" t="s">
        <v>867</v>
      </c>
      <c r="B256" s="6" t="s">
        <v>868</v>
      </c>
      <c r="C256" s="6" t="s">
        <v>870</v>
      </c>
      <c r="D256" s="2">
        <v>2</v>
      </c>
      <c r="E256" s="2">
        <v>60</v>
      </c>
      <c r="F256" s="2" t="s">
        <v>344</v>
      </c>
      <c r="G256" s="3">
        <v>100</v>
      </c>
      <c r="H256" s="3">
        <v>1.5</v>
      </c>
      <c r="I256" s="2">
        <v>128</v>
      </c>
      <c r="P256" s="6" t="s">
        <v>902</v>
      </c>
      <c r="Q256" s="2">
        <v>177.38</v>
      </c>
    </row>
    <row r="257" spans="1:17">
      <c r="A257" s="5" t="s">
        <v>869</v>
      </c>
      <c r="B257" s="6" t="s">
        <v>868</v>
      </c>
      <c r="C257" s="6" t="s">
        <v>870</v>
      </c>
      <c r="D257" s="2">
        <v>2</v>
      </c>
      <c r="E257" s="2">
        <v>60</v>
      </c>
      <c r="F257" s="2"/>
      <c r="G257" s="3">
        <v>50</v>
      </c>
      <c r="H257" s="3">
        <v>1.5</v>
      </c>
      <c r="I257" s="2">
        <v>65</v>
      </c>
      <c r="P257" s="17" t="s">
        <v>903</v>
      </c>
      <c r="Q257" s="2">
        <v>78.2</v>
      </c>
    </row>
    <row r="258" spans="1:17">
      <c r="A258" s="5" t="s">
        <v>212</v>
      </c>
      <c r="B258" s="6" t="s">
        <v>282</v>
      </c>
      <c r="C258" s="6" t="s">
        <v>496</v>
      </c>
      <c r="D258" s="2">
        <v>5</v>
      </c>
      <c r="E258" s="2">
        <v>24</v>
      </c>
      <c r="F258" s="2"/>
      <c r="G258" s="3">
        <v>100</v>
      </c>
      <c r="H258" s="3">
        <v>1.5</v>
      </c>
      <c r="I258" s="2">
        <v>51</v>
      </c>
      <c r="P258" s="6" t="s">
        <v>904</v>
      </c>
      <c r="Q258" s="2">
        <v>63</v>
      </c>
    </row>
    <row r="259" spans="1:17">
      <c r="A259" s="5" t="s">
        <v>213</v>
      </c>
      <c r="B259" s="6" t="s">
        <v>283</v>
      </c>
      <c r="C259" s="6" t="s">
        <v>496</v>
      </c>
      <c r="D259" s="2">
        <v>5</v>
      </c>
      <c r="E259" s="2">
        <v>36</v>
      </c>
      <c r="F259" s="2"/>
      <c r="G259" s="3">
        <v>100</v>
      </c>
      <c r="H259" s="3">
        <v>1.5</v>
      </c>
      <c r="I259" s="2">
        <v>73.3</v>
      </c>
      <c r="P259" s="6" t="s">
        <v>905</v>
      </c>
      <c r="Q259" s="2">
        <v>91.35</v>
      </c>
    </row>
    <row r="260" spans="1:17">
      <c r="A260" s="5" t="s">
        <v>214</v>
      </c>
      <c r="B260" s="6" t="s">
        <v>284</v>
      </c>
      <c r="C260" s="6" t="s">
        <v>496</v>
      </c>
      <c r="D260" s="2">
        <v>5</v>
      </c>
      <c r="E260" s="2">
        <v>40</v>
      </c>
      <c r="F260" s="2"/>
      <c r="G260" s="3">
        <v>100</v>
      </c>
      <c r="H260" s="3">
        <v>1.5</v>
      </c>
      <c r="I260" s="2">
        <v>73.3</v>
      </c>
      <c r="P260" s="6" t="s">
        <v>906</v>
      </c>
      <c r="Q260" s="2">
        <v>91.35</v>
      </c>
    </row>
    <row r="261" spans="1:17">
      <c r="A261" s="5" t="s">
        <v>215</v>
      </c>
      <c r="B261" s="6" t="s">
        <v>285</v>
      </c>
      <c r="C261" s="6" t="s">
        <v>496</v>
      </c>
      <c r="D261" s="2">
        <v>5</v>
      </c>
      <c r="E261" s="3">
        <v>60</v>
      </c>
      <c r="F261" s="3" t="s">
        <v>339</v>
      </c>
      <c r="G261" s="3">
        <v>100</v>
      </c>
      <c r="H261" s="3">
        <v>1.5</v>
      </c>
      <c r="I261" s="2">
        <v>101</v>
      </c>
      <c r="P261" s="6" t="s">
        <v>907</v>
      </c>
      <c r="Q261" s="2">
        <v>126</v>
      </c>
    </row>
    <row r="262" spans="1:17">
      <c r="A262" s="5" t="s">
        <v>215</v>
      </c>
      <c r="B262" s="6" t="s">
        <v>285</v>
      </c>
      <c r="C262" s="6" t="s">
        <v>496</v>
      </c>
      <c r="D262" s="2">
        <v>5</v>
      </c>
      <c r="E262" s="2">
        <v>60</v>
      </c>
      <c r="F262" s="3" t="s">
        <v>340</v>
      </c>
      <c r="G262" s="3">
        <v>100</v>
      </c>
      <c r="H262" s="3">
        <v>1.5</v>
      </c>
      <c r="I262" s="2">
        <v>101</v>
      </c>
      <c r="P262" s="6" t="s">
        <v>907</v>
      </c>
      <c r="Q262" s="2">
        <v>126</v>
      </c>
    </row>
    <row r="263" spans="1:17">
      <c r="A263" s="5" t="s">
        <v>215</v>
      </c>
      <c r="B263" s="6" t="s">
        <v>285</v>
      </c>
      <c r="C263" s="6" t="s">
        <v>496</v>
      </c>
      <c r="D263" s="2">
        <v>5</v>
      </c>
      <c r="E263" s="2">
        <v>60</v>
      </c>
      <c r="F263" s="2" t="s">
        <v>341</v>
      </c>
      <c r="G263" s="3">
        <v>100</v>
      </c>
      <c r="H263" s="3">
        <v>1.5</v>
      </c>
      <c r="I263" s="2">
        <v>105</v>
      </c>
      <c r="P263" s="6" t="s">
        <v>907</v>
      </c>
      <c r="Q263" s="2">
        <v>134.4</v>
      </c>
    </row>
    <row r="264" spans="1:17">
      <c r="A264" s="5" t="s">
        <v>215</v>
      </c>
      <c r="B264" s="6" t="s">
        <v>285</v>
      </c>
      <c r="C264" s="6" t="s">
        <v>496</v>
      </c>
      <c r="D264" s="2">
        <v>5</v>
      </c>
      <c r="E264" s="2">
        <v>60</v>
      </c>
      <c r="F264" s="2" t="s">
        <v>342</v>
      </c>
      <c r="G264" s="3">
        <v>100</v>
      </c>
      <c r="H264" s="3">
        <v>1.5</v>
      </c>
      <c r="I264" s="2">
        <v>105</v>
      </c>
      <c r="P264" s="6" t="s">
        <v>907</v>
      </c>
      <c r="Q264" s="2">
        <v>134.4</v>
      </c>
    </row>
    <row r="265" spans="1:17">
      <c r="A265" s="5" t="s">
        <v>215</v>
      </c>
      <c r="B265" s="6" t="s">
        <v>285</v>
      </c>
      <c r="C265" s="6" t="s">
        <v>496</v>
      </c>
      <c r="D265" s="2">
        <v>5</v>
      </c>
      <c r="E265" s="2">
        <v>60</v>
      </c>
      <c r="F265" s="2" t="s">
        <v>343</v>
      </c>
      <c r="G265" s="3">
        <v>100</v>
      </c>
      <c r="H265" s="3">
        <v>1.5</v>
      </c>
      <c r="I265" s="2">
        <v>110</v>
      </c>
      <c r="P265" s="6" t="s">
        <v>907</v>
      </c>
      <c r="Q265" s="2">
        <v>142.80000000000001</v>
      </c>
    </row>
    <row r="266" spans="1:17">
      <c r="A266" s="5" t="s">
        <v>215</v>
      </c>
      <c r="B266" s="6" t="s">
        <v>285</v>
      </c>
      <c r="C266" s="6" t="s">
        <v>496</v>
      </c>
      <c r="D266" s="2">
        <v>5</v>
      </c>
      <c r="E266" s="2">
        <v>60</v>
      </c>
      <c r="F266" s="2" t="s">
        <v>344</v>
      </c>
      <c r="G266" s="3">
        <v>100</v>
      </c>
      <c r="H266" s="3">
        <v>1.5</v>
      </c>
      <c r="I266" s="2">
        <v>118</v>
      </c>
      <c r="P266" s="6" t="s">
        <v>907</v>
      </c>
      <c r="Q266" s="2">
        <v>165.38</v>
      </c>
    </row>
    <row r="267" spans="1:17">
      <c r="A267" s="5" t="s">
        <v>216</v>
      </c>
      <c r="B267" s="6" t="s">
        <v>285</v>
      </c>
      <c r="C267" s="6" t="s">
        <v>496</v>
      </c>
      <c r="D267" s="2">
        <v>5</v>
      </c>
      <c r="E267" s="2">
        <v>60</v>
      </c>
      <c r="F267" s="2"/>
      <c r="G267" s="3">
        <v>50</v>
      </c>
      <c r="H267" s="3">
        <v>1.5</v>
      </c>
      <c r="I267" s="2">
        <v>60</v>
      </c>
      <c r="P267" s="6" t="s">
        <v>964</v>
      </c>
      <c r="Q267" s="2">
        <v>71.400000000000006</v>
      </c>
    </row>
    <row r="268" spans="1:17">
      <c r="A268" s="5" t="s">
        <v>217</v>
      </c>
      <c r="B268" s="6" t="s">
        <v>286</v>
      </c>
      <c r="C268" s="6" t="s">
        <v>497</v>
      </c>
      <c r="D268" s="2">
        <v>15</v>
      </c>
      <c r="E268" s="2">
        <v>24</v>
      </c>
      <c r="F268" s="2"/>
      <c r="G268" s="3">
        <v>100</v>
      </c>
      <c r="H268" s="3">
        <v>1.5</v>
      </c>
      <c r="I268" s="2">
        <v>50</v>
      </c>
      <c r="P268" s="6" t="s">
        <v>908</v>
      </c>
      <c r="Q268" s="2">
        <v>63</v>
      </c>
    </row>
    <row r="269" spans="1:17">
      <c r="A269" s="5" t="s">
        <v>218</v>
      </c>
      <c r="B269" s="6" t="s">
        <v>287</v>
      </c>
      <c r="C269" s="6" t="s">
        <v>497</v>
      </c>
      <c r="D269" s="2">
        <v>15</v>
      </c>
      <c r="E269" s="2">
        <v>36</v>
      </c>
      <c r="F269" s="2"/>
      <c r="G269" s="3">
        <v>100</v>
      </c>
      <c r="H269" s="3">
        <v>1.5</v>
      </c>
      <c r="I269" s="2">
        <v>72.3</v>
      </c>
      <c r="P269" s="6" t="s">
        <v>909</v>
      </c>
      <c r="Q269" s="2">
        <v>91.35</v>
      </c>
    </row>
    <row r="270" spans="1:17">
      <c r="A270" s="5" t="s">
        <v>219</v>
      </c>
      <c r="B270" s="6" t="s">
        <v>288</v>
      </c>
      <c r="C270" s="6" t="s">
        <v>497</v>
      </c>
      <c r="D270" s="2">
        <v>15</v>
      </c>
      <c r="E270" s="2">
        <v>40</v>
      </c>
      <c r="F270" s="2"/>
      <c r="G270" s="3">
        <v>100</v>
      </c>
      <c r="H270" s="3">
        <v>1.5</v>
      </c>
      <c r="I270" s="2">
        <v>72.3</v>
      </c>
      <c r="P270" s="6" t="s">
        <v>910</v>
      </c>
      <c r="Q270" s="2">
        <v>91.35</v>
      </c>
    </row>
    <row r="271" spans="1:17">
      <c r="A271" s="5" t="s">
        <v>220</v>
      </c>
      <c r="B271" s="6" t="s">
        <v>289</v>
      </c>
      <c r="C271" s="6" t="s">
        <v>497</v>
      </c>
      <c r="D271" s="2">
        <v>15</v>
      </c>
      <c r="E271" s="2">
        <v>60</v>
      </c>
      <c r="F271" s="3" t="s">
        <v>339</v>
      </c>
      <c r="G271" s="3">
        <v>100</v>
      </c>
      <c r="H271" s="3">
        <v>1.5</v>
      </c>
      <c r="I271" s="2">
        <v>99</v>
      </c>
      <c r="P271" s="6" t="s">
        <v>911</v>
      </c>
      <c r="Q271" s="2">
        <v>126</v>
      </c>
    </row>
    <row r="272" spans="1:17">
      <c r="A272" s="5" t="s">
        <v>220</v>
      </c>
      <c r="B272" s="6" t="s">
        <v>289</v>
      </c>
      <c r="C272" s="6" t="s">
        <v>497</v>
      </c>
      <c r="D272" s="2">
        <v>15</v>
      </c>
      <c r="E272" s="2">
        <v>60</v>
      </c>
      <c r="F272" s="3" t="s">
        <v>340</v>
      </c>
      <c r="G272" s="3">
        <v>100</v>
      </c>
      <c r="H272" s="3">
        <v>1.5</v>
      </c>
      <c r="I272" s="2">
        <v>99</v>
      </c>
      <c r="P272" s="6" t="s">
        <v>911</v>
      </c>
      <c r="Q272" s="2">
        <v>126</v>
      </c>
    </row>
    <row r="273" spans="1:17">
      <c r="A273" s="5" t="s">
        <v>221</v>
      </c>
      <c r="B273" s="6" t="s">
        <v>289</v>
      </c>
      <c r="C273" s="6" t="s">
        <v>497</v>
      </c>
      <c r="D273" s="2">
        <v>15</v>
      </c>
      <c r="E273" s="2">
        <v>60</v>
      </c>
      <c r="F273" s="2"/>
      <c r="G273" s="3">
        <v>50</v>
      </c>
      <c r="H273" s="3">
        <v>1.5</v>
      </c>
      <c r="I273" s="2">
        <v>59</v>
      </c>
      <c r="P273" s="6" t="s">
        <v>965</v>
      </c>
      <c r="Q273" s="2">
        <v>71.400000000000006</v>
      </c>
    </row>
    <row r="274" spans="1:17">
      <c r="A274" s="5" t="s">
        <v>222</v>
      </c>
      <c r="B274" s="6" t="s">
        <v>290</v>
      </c>
      <c r="C274" s="6" t="s">
        <v>498</v>
      </c>
      <c r="D274" s="2">
        <v>20</v>
      </c>
      <c r="E274" s="2">
        <v>24</v>
      </c>
      <c r="F274" s="2"/>
      <c r="G274" s="3">
        <v>100</v>
      </c>
      <c r="H274" s="3">
        <v>1.5</v>
      </c>
      <c r="I274" s="2">
        <v>50</v>
      </c>
      <c r="P274" s="6" t="s">
        <v>912</v>
      </c>
      <c r="Q274" s="2">
        <v>63</v>
      </c>
    </row>
    <row r="275" spans="1:17">
      <c r="A275" s="5" t="s">
        <v>223</v>
      </c>
      <c r="B275" s="6" t="s">
        <v>291</v>
      </c>
      <c r="C275" s="6" t="s">
        <v>498</v>
      </c>
      <c r="D275" s="2">
        <v>20</v>
      </c>
      <c r="E275" s="2">
        <v>36</v>
      </c>
      <c r="F275" s="2"/>
      <c r="G275" s="3">
        <v>100</v>
      </c>
      <c r="H275" s="3">
        <v>1.5</v>
      </c>
      <c r="I275" s="2">
        <v>72.3</v>
      </c>
      <c r="P275" s="6" t="s">
        <v>913</v>
      </c>
      <c r="Q275" s="2">
        <v>91.35</v>
      </c>
    </row>
    <row r="276" spans="1:17">
      <c r="A276" s="5" t="s">
        <v>224</v>
      </c>
      <c r="B276" s="6" t="s">
        <v>292</v>
      </c>
      <c r="C276" s="6" t="s">
        <v>498</v>
      </c>
      <c r="D276" s="2">
        <v>20</v>
      </c>
      <c r="E276" s="2">
        <v>40</v>
      </c>
      <c r="F276" s="2"/>
      <c r="G276" s="3">
        <v>100</v>
      </c>
      <c r="H276" s="3">
        <v>1.5</v>
      </c>
      <c r="I276" s="2">
        <v>72.3</v>
      </c>
      <c r="P276" s="6" t="s">
        <v>914</v>
      </c>
      <c r="Q276" s="2">
        <v>91.35</v>
      </c>
    </row>
    <row r="277" spans="1:17">
      <c r="A277" s="5" t="s">
        <v>225</v>
      </c>
      <c r="B277" s="6" t="s">
        <v>293</v>
      </c>
      <c r="C277" s="6" t="s">
        <v>498</v>
      </c>
      <c r="D277" s="2">
        <v>20</v>
      </c>
      <c r="E277" s="2">
        <v>60</v>
      </c>
      <c r="F277" s="3" t="s">
        <v>339</v>
      </c>
      <c r="G277" s="3">
        <v>100</v>
      </c>
      <c r="H277" s="3">
        <v>1.5</v>
      </c>
      <c r="I277" s="2">
        <v>99</v>
      </c>
      <c r="P277" s="6" t="s">
        <v>915</v>
      </c>
      <c r="Q277" s="2">
        <v>126</v>
      </c>
    </row>
    <row r="278" spans="1:17">
      <c r="A278" s="5" t="s">
        <v>225</v>
      </c>
      <c r="B278" s="6" t="s">
        <v>293</v>
      </c>
      <c r="C278" s="6" t="s">
        <v>498</v>
      </c>
      <c r="D278" s="2">
        <v>20</v>
      </c>
      <c r="E278" s="2">
        <v>60</v>
      </c>
      <c r="F278" s="3" t="s">
        <v>340</v>
      </c>
      <c r="G278" s="3">
        <v>100</v>
      </c>
      <c r="H278" s="3">
        <v>1.5</v>
      </c>
      <c r="I278" s="2">
        <v>99</v>
      </c>
      <c r="P278" s="6" t="s">
        <v>915</v>
      </c>
      <c r="Q278" s="2">
        <v>126</v>
      </c>
    </row>
    <row r="279" spans="1:17">
      <c r="A279" s="5" t="s">
        <v>226</v>
      </c>
      <c r="B279" s="6" t="s">
        <v>293</v>
      </c>
      <c r="C279" s="6" t="s">
        <v>498</v>
      </c>
      <c r="D279" s="2">
        <v>20</v>
      </c>
      <c r="E279" s="2">
        <v>60</v>
      </c>
      <c r="F279" s="2"/>
      <c r="G279" s="3">
        <v>50</v>
      </c>
      <c r="H279" s="3">
        <v>1.5</v>
      </c>
      <c r="I279" s="2">
        <v>59</v>
      </c>
      <c r="P279" s="6" t="s">
        <v>966</v>
      </c>
      <c r="Q279" s="2">
        <v>71.400000000000006</v>
      </c>
    </row>
    <row r="280" spans="1:17">
      <c r="A280" s="5" t="s">
        <v>227</v>
      </c>
      <c r="B280" s="6" t="s">
        <v>294</v>
      </c>
      <c r="C280" s="6" t="s">
        <v>499</v>
      </c>
      <c r="D280" s="2">
        <v>25</v>
      </c>
      <c r="E280" s="2">
        <v>24</v>
      </c>
      <c r="F280" s="2"/>
      <c r="G280" s="3">
        <v>100</v>
      </c>
      <c r="H280" s="3">
        <v>1.5</v>
      </c>
      <c r="I280" s="2">
        <v>50</v>
      </c>
      <c r="P280" s="6" t="s">
        <v>916</v>
      </c>
      <c r="Q280" s="2">
        <v>63</v>
      </c>
    </row>
    <row r="281" spans="1:17">
      <c r="A281" s="5" t="s">
        <v>228</v>
      </c>
      <c r="B281" s="6" t="s">
        <v>295</v>
      </c>
      <c r="C281" s="6" t="s">
        <v>499</v>
      </c>
      <c r="D281" s="2">
        <v>25</v>
      </c>
      <c r="E281" s="2">
        <v>36</v>
      </c>
      <c r="F281" s="2"/>
      <c r="G281" s="3">
        <v>100</v>
      </c>
      <c r="H281" s="3">
        <v>1.5</v>
      </c>
      <c r="I281" s="2">
        <v>72.3</v>
      </c>
      <c r="P281" s="6" t="s">
        <v>917</v>
      </c>
      <c r="Q281" s="2">
        <v>91.35</v>
      </c>
    </row>
    <row r="282" spans="1:17">
      <c r="A282" s="5" t="s">
        <v>229</v>
      </c>
      <c r="B282" s="6" t="s">
        <v>296</v>
      </c>
      <c r="C282" s="6" t="s">
        <v>499</v>
      </c>
      <c r="D282" s="2">
        <v>25</v>
      </c>
      <c r="E282" s="2">
        <v>40</v>
      </c>
      <c r="F282" s="2"/>
      <c r="G282" s="3">
        <v>100</v>
      </c>
      <c r="H282" s="3">
        <v>1.5</v>
      </c>
      <c r="I282" s="2">
        <v>72.3</v>
      </c>
      <c r="P282" s="6" t="s">
        <v>918</v>
      </c>
      <c r="Q282" s="2">
        <v>91.35</v>
      </c>
    </row>
    <row r="283" spans="1:17">
      <c r="A283" s="5" t="s">
        <v>230</v>
      </c>
      <c r="B283" s="6" t="s">
        <v>297</v>
      </c>
      <c r="C283" s="6" t="s">
        <v>499</v>
      </c>
      <c r="D283" s="2">
        <v>25</v>
      </c>
      <c r="E283" s="2">
        <v>60</v>
      </c>
      <c r="F283" s="3" t="s">
        <v>339</v>
      </c>
      <c r="G283" s="3">
        <v>100</v>
      </c>
      <c r="H283" s="3">
        <v>1.5</v>
      </c>
      <c r="I283" s="2">
        <v>99</v>
      </c>
      <c r="P283" s="6" t="s">
        <v>919</v>
      </c>
      <c r="Q283" s="2">
        <v>126</v>
      </c>
    </row>
    <row r="284" spans="1:17">
      <c r="A284" s="5" t="s">
        <v>230</v>
      </c>
      <c r="B284" s="6" t="s">
        <v>297</v>
      </c>
      <c r="C284" s="6" t="s">
        <v>499</v>
      </c>
      <c r="D284" s="2">
        <v>25</v>
      </c>
      <c r="E284" s="2">
        <v>60</v>
      </c>
      <c r="F284" s="3" t="s">
        <v>340</v>
      </c>
      <c r="G284" s="3">
        <v>100</v>
      </c>
      <c r="H284" s="3">
        <v>1.5</v>
      </c>
      <c r="I284" s="2">
        <v>99</v>
      </c>
      <c r="P284" s="6" t="s">
        <v>919</v>
      </c>
      <c r="Q284" s="2">
        <v>126</v>
      </c>
    </row>
    <row r="285" spans="1:17">
      <c r="A285" s="5" t="s">
        <v>231</v>
      </c>
      <c r="B285" s="6" t="s">
        <v>297</v>
      </c>
      <c r="C285" s="6" t="s">
        <v>499</v>
      </c>
      <c r="D285" s="2">
        <v>25</v>
      </c>
      <c r="E285" s="2">
        <v>60</v>
      </c>
      <c r="F285" s="2"/>
      <c r="G285" s="3">
        <v>50</v>
      </c>
      <c r="H285" s="3">
        <v>1.5</v>
      </c>
      <c r="I285" s="2">
        <v>59</v>
      </c>
      <c r="P285" s="6" t="s">
        <v>967</v>
      </c>
      <c r="Q285" s="2">
        <v>71.400000000000006</v>
      </c>
    </row>
    <row r="286" spans="1:17">
      <c r="A286" s="5" t="s">
        <v>871</v>
      </c>
      <c r="B286" s="6" t="s">
        <v>872</v>
      </c>
      <c r="C286" s="6" t="s">
        <v>873</v>
      </c>
      <c r="D286" s="2">
        <v>30</v>
      </c>
      <c r="E286" s="2">
        <v>24</v>
      </c>
      <c r="F286" s="2"/>
      <c r="G286" s="3">
        <v>100</v>
      </c>
      <c r="H286" s="3">
        <v>1.5</v>
      </c>
      <c r="I286" s="2">
        <v>50</v>
      </c>
      <c r="P286" s="6" t="s">
        <v>920</v>
      </c>
      <c r="Q286" s="2">
        <v>63</v>
      </c>
    </row>
    <row r="287" spans="1:17">
      <c r="A287" s="5" t="s">
        <v>874</v>
      </c>
      <c r="B287" s="6" t="s">
        <v>875</v>
      </c>
      <c r="C287" s="6" t="s">
        <v>873</v>
      </c>
      <c r="D287" s="2">
        <v>30</v>
      </c>
      <c r="E287" s="2">
        <v>36</v>
      </c>
      <c r="F287" s="2"/>
      <c r="G287" s="3">
        <v>100</v>
      </c>
      <c r="H287" s="3">
        <v>1.5</v>
      </c>
      <c r="I287" s="2">
        <v>72.3</v>
      </c>
      <c r="P287" s="6" t="s">
        <v>921</v>
      </c>
      <c r="Q287" s="2">
        <v>91.35</v>
      </c>
    </row>
    <row r="288" spans="1:17">
      <c r="A288" s="5" t="s">
        <v>876</v>
      </c>
      <c r="B288" s="6" t="s">
        <v>877</v>
      </c>
      <c r="C288" s="6" t="s">
        <v>873</v>
      </c>
      <c r="D288" s="2">
        <v>30</v>
      </c>
      <c r="E288" s="2">
        <v>40</v>
      </c>
      <c r="F288" s="2"/>
      <c r="G288" s="3">
        <v>100</v>
      </c>
      <c r="H288" s="3">
        <v>1.5</v>
      </c>
      <c r="I288" s="2">
        <v>72.3</v>
      </c>
      <c r="P288" s="6" t="s">
        <v>922</v>
      </c>
      <c r="Q288" s="2">
        <v>91.35</v>
      </c>
    </row>
    <row r="289" spans="1:17">
      <c r="A289" s="5" t="s">
        <v>878</v>
      </c>
      <c r="B289" s="6" t="s">
        <v>879</v>
      </c>
      <c r="C289" s="6" t="s">
        <v>873</v>
      </c>
      <c r="D289" s="2">
        <v>30</v>
      </c>
      <c r="E289" s="2">
        <v>60</v>
      </c>
      <c r="F289" s="3" t="s">
        <v>339</v>
      </c>
      <c r="G289" s="3">
        <v>100</v>
      </c>
      <c r="H289" s="3">
        <v>1.5</v>
      </c>
      <c r="I289" s="2">
        <v>99</v>
      </c>
      <c r="P289" s="6" t="s">
        <v>923</v>
      </c>
      <c r="Q289" s="2">
        <v>126</v>
      </c>
    </row>
    <row r="290" spans="1:17">
      <c r="A290" s="5" t="s">
        <v>878</v>
      </c>
      <c r="B290" s="6" t="s">
        <v>879</v>
      </c>
      <c r="C290" s="6" t="s">
        <v>873</v>
      </c>
      <c r="D290" s="2">
        <v>30</v>
      </c>
      <c r="E290" s="2">
        <v>60</v>
      </c>
      <c r="F290" s="3" t="s">
        <v>340</v>
      </c>
      <c r="G290" s="3">
        <v>100</v>
      </c>
      <c r="H290" s="3">
        <v>1.5</v>
      </c>
      <c r="I290" s="2">
        <v>99</v>
      </c>
      <c r="P290" s="6" t="s">
        <v>923</v>
      </c>
      <c r="Q290" s="2">
        <v>126</v>
      </c>
    </row>
    <row r="291" spans="1:17">
      <c r="A291" s="5" t="s">
        <v>880</v>
      </c>
      <c r="B291" s="6" t="s">
        <v>879</v>
      </c>
      <c r="C291" s="6" t="s">
        <v>873</v>
      </c>
      <c r="D291" s="2">
        <v>30</v>
      </c>
      <c r="E291" s="2">
        <v>60</v>
      </c>
      <c r="F291" s="2"/>
      <c r="G291" s="3">
        <v>50</v>
      </c>
      <c r="H291" s="3">
        <v>1.5</v>
      </c>
      <c r="I291" s="2">
        <v>59</v>
      </c>
      <c r="P291" s="6" t="s">
        <v>968</v>
      </c>
      <c r="Q291" s="2">
        <v>71.400000000000006</v>
      </c>
    </row>
    <row r="292" spans="1:17">
      <c r="A292" s="5" t="s">
        <v>232</v>
      </c>
      <c r="B292" s="6" t="s">
        <v>298</v>
      </c>
      <c r="C292" s="6" t="s">
        <v>500</v>
      </c>
      <c r="D292" s="2">
        <v>35</v>
      </c>
      <c r="E292" s="2">
        <v>24</v>
      </c>
      <c r="F292" s="2"/>
      <c r="G292" s="3">
        <v>100</v>
      </c>
      <c r="H292" s="3">
        <v>1.5</v>
      </c>
      <c r="I292" s="2">
        <v>50</v>
      </c>
      <c r="P292" s="6" t="s">
        <v>924</v>
      </c>
      <c r="Q292" s="2">
        <v>63</v>
      </c>
    </row>
    <row r="293" spans="1:17">
      <c r="A293" s="5" t="s">
        <v>233</v>
      </c>
      <c r="B293" s="6" t="s">
        <v>299</v>
      </c>
      <c r="C293" s="6" t="s">
        <v>500</v>
      </c>
      <c r="D293" s="2">
        <v>35</v>
      </c>
      <c r="E293" s="2">
        <v>36</v>
      </c>
      <c r="F293" s="2"/>
      <c r="G293" s="3">
        <v>100</v>
      </c>
      <c r="H293" s="3">
        <v>1.5</v>
      </c>
      <c r="I293" s="2">
        <v>72.3</v>
      </c>
      <c r="P293" s="6" t="s">
        <v>925</v>
      </c>
      <c r="Q293" s="2">
        <v>91.35</v>
      </c>
    </row>
    <row r="294" spans="1:17">
      <c r="A294" s="5" t="s">
        <v>234</v>
      </c>
      <c r="B294" s="6" t="s">
        <v>300</v>
      </c>
      <c r="C294" s="6" t="s">
        <v>500</v>
      </c>
      <c r="D294" s="2">
        <v>35</v>
      </c>
      <c r="E294" s="2">
        <v>40</v>
      </c>
      <c r="F294" s="2"/>
      <c r="G294" s="3">
        <v>100</v>
      </c>
      <c r="H294" s="3">
        <v>1.5</v>
      </c>
      <c r="I294" s="2">
        <v>72.3</v>
      </c>
      <c r="P294" s="6" t="s">
        <v>926</v>
      </c>
      <c r="Q294" s="2">
        <v>91.35</v>
      </c>
    </row>
    <row r="295" spans="1:17">
      <c r="A295" s="5" t="s">
        <v>235</v>
      </c>
      <c r="B295" s="6" t="s">
        <v>301</v>
      </c>
      <c r="C295" s="6" t="s">
        <v>500</v>
      </c>
      <c r="D295" s="2">
        <v>35</v>
      </c>
      <c r="E295" s="2">
        <v>60</v>
      </c>
      <c r="F295" s="3" t="s">
        <v>339</v>
      </c>
      <c r="G295" s="3">
        <v>100</v>
      </c>
      <c r="H295" s="3">
        <v>1.5</v>
      </c>
      <c r="I295" s="2">
        <v>99</v>
      </c>
      <c r="P295" s="6" t="s">
        <v>927</v>
      </c>
      <c r="Q295" s="2">
        <v>126</v>
      </c>
    </row>
    <row r="296" spans="1:17">
      <c r="A296" s="5" t="s">
        <v>235</v>
      </c>
      <c r="B296" s="6" t="s">
        <v>301</v>
      </c>
      <c r="C296" s="6" t="s">
        <v>500</v>
      </c>
      <c r="D296" s="2">
        <v>35</v>
      </c>
      <c r="E296" s="2">
        <v>60</v>
      </c>
      <c r="F296" s="3" t="s">
        <v>340</v>
      </c>
      <c r="G296" s="3">
        <v>100</v>
      </c>
      <c r="H296" s="3">
        <v>1.5</v>
      </c>
      <c r="I296" s="2">
        <v>99</v>
      </c>
      <c r="P296" s="6" t="s">
        <v>927</v>
      </c>
      <c r="Q296" s="2">
        <v>126</v>
      </c>
    </row>
    <row r="297" spans="1:17">
      <c r="A297" s="5" t="s">
        <v>236</v>
      </c>
      <c r="B297" s="6" t="s">
        <v>301</v>
      </c>
      <c r="C297" s="6" t="s">
        <v>500</v>
      </c>
      <c r="D297" s="2">
        <v>35</v>
      </c>
      <c r="E297" s="2">
        <v>60</v>
      </c>
      <c r="F297" s="2"/>
      <c r="G297" s="3">
        <v>50</v>
      </c>
      <c r="H297" s="3">
        <v>1.5</v>
      </c>
      <c r="I297" s="2">
        <v>59</v>
      </c>
      <c r="P297" s="6" t="s">
        <v>969</v>
      </c>
      <c r="Q297" s="2">
        <v>71.400000000000006</v>
      </c>
    </row>
    <row r="298" spans="1:17">
      <c r="A298" s="5" t="s">
        <v>237</v>
      </c>
      <c r="B298" s="6" t="s">
        <v>302</v>
      </c>
      <c r="C298" s="6" t="s">
        <v>501</v>
      </c>
      <c r="D298" s="2">
        <v>40</v>
      </c>
      <c r="E298" s="2">
        <v>24</v>
      </c>
      <c r="F298" s="2"/>
      <c r="G298" s="3">
        <v>100</v>
      </c>
      <c r="H298" s="3">
        <v>1.5</v>
      </c>
      <c r="I298" s="2">
        <v>50</v>
      </c>
      <c r="P298" s="6" t="s">
        <v>928</v>
      </c>
      <c r="Q298" s="2">
        <v>63</v>
      </c>
    </row>
    <row r="299" spans="1:17">
      <c r="A299" s="5" t="s">
        <v>238</v>
      </c>
      <c r="B299" s="6" t="s">
        <v>303</v>
      </c>
      <c r="C299" s="6" t="s">
        <v>501</v>
      </c>
      <c r="D299" s="2">
        <v>40</v>
      </c>
      <c r="E299" s="2">
        <v>36</v>
      </c>
      <c r="F299" s="2"/>
      <c r="G299" s="3">
        <v>100</v>
      </c>
      <c r="H299" s="3">
        <v>1.5</v>
      </c>
      <c r="I299" s="2">
        <v>72.3</v>
      </c>
      <c r="P299" s="6" t="s">
        <v>929</v>
      </c>
      <c r="Q299" s="2">
        <v>91.35</v>
      </c>
    </row>
    <row r="300" spans="1:17">
      <c r="A300" s="5" t="s">
        <v>239</v>
      </c>
      <c r="B300" s="6" t="s">
        <v>304</v>
      </c>
      <c r="C300" s="6" t="s">
        <v>501</v>
      </c>
      <c r="D300" s="2">
        <v>40</v>
      </c>
      <c r="E300" s="2">
        <v>40</v>
      </c>
      <c r="F300" s="2"/>
      <c r="G300" s="3">
        <v>100</v>
      </c>
      <c r="H300" s="3">
        <v>1.5</v>
      </c>
      <c r="I300" s="2">
        <v>72.3</v>
      </c>
      <c r="P300" s="6" t="s">
        <v>930</v>
      </c>
      <c r="Q300" s="2">
        <v>91.35</v>
      </c>
    </row>
    <row r="301" spans="1:17">
      <c r="A301" s="5" t="s">
        <v>240</v>
      </c>
      <c r="B301" s="6" t="s">
        <v>305</v>
      </c>
      <c r="C301" s="6" t="s">
        <v>501</v>
      </c>
      <c r="D301" s="2">
        <v>40</v>
      </c>
      <c r="E301" s="2">
        <v>60</v>
      </c>
      <c r="F301" s="3" t="s">
        <v>339</v>
      </c>
      <c r="G301" s="3">
        <v>100</v>
      </c>
      <c r="H301" s="3">
        <v>1.5</v>
      </c>
      <c r="I301" s="2">
        <v>99</v>
      </c>
      <c r="P301" s="6" t="s">
        <v>931</v>
      </c>
      <c r="Q301" s="2">
        <v>126</v>
      </c>
    </row>
    <row r="302" spans="1:17">
      <c r="A302" s="5" t="s">
        <v>240</v>
      </c>
      <c r="B302" s="6" t="s">
        <v>305</v>
      </c>
      <c r="C302" s="6" t="s">
        <v>501</v>
      </c>
      <c r="D302" s="2">
        <v>40</v>
      </c>
      <c r="E302" s="2">
        <v>60</v>
      </c>
      <c r="F302" s="3" t="s">
        <v>340</v>
      </c>
      <c r="G302" s="3">
        <v>100</v>
      </c>
      <c r="H302" s="3">
        <v>1.5</v>
      </c>
      <c r="I302" s="2">
        <v>99</v>
      </c>
      <c r="P302" s="6" t="s">
        <v>931</v>
      </c>
      <c r="Q302" s="2">
        <v>126</v>
      </c>
    </row>
    <row r="303" spans="1:17">
      <c r="A303" s="5" t="s">
        <v>241</v>
      </c>
      <c r="B303" s="6" t="s">
        <v>305</v>
      </c>
      <c r="C303" s="6" t="s">
        <v>501</v>
      </c>
      <c r="D303" s="2">
        <v>40</v>
      </c>
      <c r="E303" s="2">
        <v>60</v>
      </c>
      <c r="F303" s="2"/>
      <c r="G303" s="3">
        <v>50</v>
      </c>
      <c r="H303" s="3">
        <v>1.5</v>
      </c>
      <c r="I303" s="2">
        <v>59</v>
      </c>
      <c r="P303" s="6" t="s">
        <v>970</v>
      </c>
      <c r="Q303" s="2">
        <v>71.400000000000006</v>
      </c>
    </row>
    <row r="304" spans="1:17">
      <c r="A304" s="5" t="s">
        <v>242</v>
      </c>
      <c r="B304" s="6" t="s">
        <v>306</v>
      </c>
      <c r="C304" s="6" t="s">
        <v>502</v>
      </c>
      <c r="D304" s="2">
        <v>50</v>
      </c>
      <c r="E304" s="2">
        <v>24</v>
      </c>
      <c r="F304" s="2"/>
      <c r="G304" s="3">
        <v>100</v>
      </c>
      <c r="H304" s="3">
        <v>1.5</v>
      </c>
      <c r="I304" s="2">
        <v>50</v>
      </c>
      <c r="P304" s="6" t="s">
        <v>932</v>
      </c>
      <c r="Q304" s="2">
        <v>63</v>
      </c>
    </row>
    <row r="305" spans="1:17">
      <c r="A305" s="5" t="s">
        <v>243</v>
      </c>
      <c r="B305" s="6" t="s">
        <v>307</v>
      </c>
      <c r="C305" s="6" t="s">
        <v>502</v>
      </c>
      <c r="D305" s="2">
        <v>50</v>
      </c>
      <c r="E305" s="2">
        <v>36</v>
      </c>
      <c r="F305" s="2"/>
      <c r="G305" s="3">
        <v>100</v>
      </c>
      <c r="H305" s="3">
        <v>1.5</v>
      </c>
      <c r="I305" s="2">
        <v>72.3</v>
      </c>
      <c r="P305" s="6" t="s">
        <v>933</v>
      </c>
      <c r="Q305" s="2">
        <v>91.35</v>
      </c>
    </row>
    <row r="306" spans="1:17">
      <c r="A306" s="5" t="s">
        <v>244</v>
      </c>
      <c r="B306" s="6" t="s">
        <v>308</v>
      </c>
      <c r="C306" s="6" t="s">
        <v>502</v>
      </c>
      <c r="D306" s="2">
        <v>50</v>
      </c>
      <c r="E306" s="2">
        <v>40</v>
      </c>
      <c r="F306" s="2"/>
      <c r="G306" s="3">
        <v>100</v>
      </c>
      <c r="H306" s="3">
        <v>1.5</v>
      </c>
      <c r="I306" s="2">
        <v>72.3</v>
      </c>
      <c r="P306" s="6" t="s">
        <v>934</v>
      </c>
      <c r="Q306" s="2">
        <v>91.35</v>
      </c>
    </row>
    <row r="307" spans="1:17">
      <c r="A307" s="5" t="s">
        <v>245</v>
      </c>
      <c r="B307" s="6" t="s">
        <v>309</v>
      </c>
      <c r="C307" s="6" t="s">
        <v>502</v>
      </c>
      <c r="D307" s="2">
        <v>50</v>
      </c>
      <c r="E307" s="2">
        <v>60</v>
      </c>
      <c r="F307" s="3" t="s">
        <v>339</v>
      </c>
      <c r="G307" s="3">
        <v>100</v>
      </c>
      <c r="H307" s="3">
        <v>1.5</v>
      </c>
      <c r="I307" s="2">
        <v>99</v>
      </c>
      <c r="P307" s="6" t="s">
        <v>935</v>
      </c>
      <c r="Q307" s="2">
        <v>126</v>
      </c>
    </row>
    <row r="308" spans="1:17">
      <c r="A308" s="5" t="s">
        <v>245</v>
      </c>
      <c r="B308" s="6" t="s">
        <v>309</v>
      </c>
      <c r="C308" s="6" t="s">
        <v>502</v>
      </c>
      <c r="D308" s="2">
        <v>50</v>
      </c>
      <c r="E308" s="2">
        <v>60</v>
      </c>
      <c r="F308" s="3" t="s">
        <v>340</v>
      </c>
      <c r="G308" s="3">
        <v>100</v>
      </c>
      <c r="H308" s="3">
        <v>1.5</v>
      </c>
      <c r="I308" s="2">
        <v>99</v>
      </c>
      <c r="P308" s="6" t="s">
        <v>935</v>
      </c>
      <c r="Q308" s="2">
        <v>126</v>
      </c>
    </row>
    <row r="309" spans="1:17">
      <c r="A309" s="5" t="s">
        <v>246</v>
      </c>
      <c r="B309" s="6" t="s">
        <v>309</v>
      </c>
      <c r="C309" s="6" t="s">
        <v>502</v>
      </c>
      <c r="D309" s="2">
        <v>50</v>
      </c>
      <c r="E309" s="2">
        <v>60</v>
      </c>
      <c r="F309" s="2"/>
      <c r="G309" s="3">
        <v>50</v>
      </c>
      <c r="H309" s="3">
        <v>1.5</v>
      </c>
      <c r="I309" s="2">
        <v>59</v>
      </c>
      <c r="P309" s="6" t="s">
        <v>971</v>
      </c>
      <c r="Q309" s="2">
        <v>71.400000000000006</v>
      </c>
    </row>
    <row r="310" spans="1:17">
      <c r="A310" s="5" t="s">
        <v>247</v>
      </c>
      <c r="B310" s="6" t="s">
        <v>310</v>
      </c>
      <c r="C310" s="6" t="s">
        <v>503</v>
      </c>
      <c r="D310" s="2">
        <v>5</v>
      </c>
      <c r="E310" s="2">
        <v>24</v>
      </c>
      <c r="F310" s="2"/>
      <c r="G310" s="3">
        <v>100</v>
      </c>
      <c r="H310" s="3">
        <v>1.5</v>
      </c>
      <c r="I310" s="2">
        <v>72.349999999999994</v>
      </c>
      <c r="P310" s="6" t="s">
        <v>936</v>
      </c>
      <c r="Q310" s="2">
        <v>105</v>
      </c>
    </row>
    <row r="311" spans="1:17">
      <c r="A311" s="5" t="s">
        <v>248</v>
      </c>
      <c r="B311" s="6" t="s">
        <v>311</v>
      </c>
      <c r="C311" s="6" t="s">
        <v>503</v>
      </c>
      <c r="D311" s="2">
        <v>5</v>
      </c>
      <c r="E311" s="2">
        <v>36</v>
      </c>
      <c r="F311" s="2"/>
      <c r="G311" s="3">
        <v>100</v>
      </c>
      <c r="H311" s="3">
        <v>1.5</v>
      </c>
      <c r="I311" s="2">
        <v>103</v>
      </c>
      <c r="P311" s="6" t="s">
        <v>937</v>
      </c>
      <c r="Q311" s="2">
        <v>140.28</v>
      </c>
    </row>
    <row r="312" spans="1:17">
      <c r="A312" s="5" t="s">
        <v>249</v>
      </c>
      <c r="B312" s="6" t="s">
        <v>312</v>
      </c>
      <c r="C312" s="6" t="s">
        <v>503</v>
      </c>
      <c r="D312" s="2">
        <v>5</v>
      </c>
      <c r="E312" s="2">
        <v>40</v>
      </c>
      <c r="F312" s="2"/>
      <c r="G312" s="3">
        <v>100</v>
      </c>
      <c r="H312" s="3">
        <v>1.5</v>
      </c>
      <c r="I312" s="2">
        <v>103</v>
      </c>
      <c r="P312" s="6" t="s">
        <v>938</v>
      </c>
      <c r="Q312" s="2">
        <v>140.28</v>
      </c>
    </row>
    <row r="313" spans="1:17">
      <c r="A313" s="5" t="s">
        <v>250</v>
      </c>
      <c r="B313" s="6" t="s">
        <v>313</v>
      </c>
      <c r="C313" s="6" t="s">
        <v>503</v>
      </c>
      <c r="D313" s="2">
        <v>5</v>
      </c>
      <c r="E313" s="2">
        <v>60</v>
      </c>
      <c r="F313" s="2" t="s">
        <v>345</v>
      </c>
      <c r="G313" s="3">
        <v>100</v>
      </c>
      <c r="H313" s="3">
        <v>1.5</v>
      </c>
      <c r="I313" s="2">
        <v>147.69999999999999</v>
      </c>
      <c r="P313" s="6" t="s">
        <v>939</v>
      </c>
      <c r="Q313" s="2">
        <v>219.81</v>
      </c>
    </row>
    <row r="314" spans="1:17">
      <c r="A314" s="5" t="s">
        <v>250</v>
      </c>
      <c r="B314" s="6" t="s">
        <v>313</v>
      </c>
      <c r="C314" s="6" t="s">
        <v>503</v>
      </c>
      <c r="D314" s="2">
        <v>5</v>
      </c>
      <c r="E314" s="2">
        <v>60</v>
      </c>
      <c r="F314" s="3" t="s">
        <v>339</v>
      </c>
      <c r="G314" s="3">
        <v>100</v>
      </c>
      <c r="H314" s="3">
        <v>1.5</v>
      </c>
      <c r="I314" s="2">
        <v>143.69999999999999</v>
      </c>
      <c r="P314" s="6" t="s">
        <v>939</v>
      </c>
      <c r="Q314" s="2">
        <v>210</v>
      </c>
    </row>
    <row r="315" spans="1:17">
      <c r="A315" s="5" t="s">
        <v>250</v>
      </c>
      <c r="B315" s="6" t="s">
        <v>313</v>
      </c>
      <c r="C315" s="6" t="s">
        <v>503</v>
      </c>
      <c r="D315" s="2">
        <v>5</v>
      </c>
      <c r="E315" s="2">
        <v>60</v>
      </c>
      <c r="F315" s="3" t="s">
        <v>340</v>
      </c>
      <c r="G315" s="3">
        <v>100</v>
      </c>
      <c r="H315" s="3">
        <v>1.5</v>
      </c>
      <c r="I315" s="2">
        <v>143.69999999999999</v>
      </c>
      <c r="P315" s="6" t="s">
        <v>939</v>
      </c>
      <c r="Q315" s="2">
        <v>210</v>
      </c>
    </row>
    <row r="316" spans="1:17">
      <c r="A316" s="5" t="s">
        <v>251</v>
      </c>
      <c r="B316" s="6" t="s">
        <v>313</v>
      </c>
      <c r="C316" s="6" t="s">
        <v>503</v>
      </c>
      <c r="D316" s="2">
        <v>5</v>
      </c>
      <c r="E316" s="2">
        <v>60</v>
      </c>
      <c r="F316" s="2"/>
      <c r="G316" s="3">
        <v>50</v>
      </c>
      <c r="H316" s="3">
        <v>1.5</v>
      </c>
      <c r="I316" s="2">
        <v>81.349999999999994</v>
      </c>
      <c r="P316" s="6" t="s">
        <v>972</v>
      </c>
      <c r="Q316" s="2">
        <v>126</v>
      </c>
    </row>
    <row r="317" spans="1:17">
      <c r="A317" s="5" t="s">
        <v>252</v>
      </c>
      <c r="B317" s="6" t="s">
        <v>314</v>
      </c>
      <c r="C317" s="6" t="s">
        <v>504</v>
      </c>
      <c r="D317" s="2">
        <v>15</v>
      </c>
      <c r="E317" s="2">
        <v>24</v>
      </c>
      <c r="F317" s="2"/>
      <c r="G317" s="3">
        <v>100</v>
      </c>
      <c r="H317" s="3">
        <v>1.5</v>
      </c>
      <c r="I317" s="2">
        <v>70.349999999999994</v>
      </c>
      <c r="P317" s="6" t="s">
        <v>940</v>
      </c>
      <c r="Q317" s="2">
        <v>105</v>
      </c>
    </row>
    <row r="318" spans="1:17">
      <c r="A318" s="5" t="s">
        <v>253</v>
      </c>
      <c r="B318" s="6" t="s">
        <v>315</v>
      </c>
      <c r="C318" s="6" t="s">
        <v>504</v>
      </c>
      <c r="D318" s="2">
        <v>15</v>
      </c>
      <c r="E318" s="2">
        <v>36</v>
      </c>
      <c r="F318" s="2"/>
      <c r="G318" s="3">
        <v>100</v>
      </c>
      <c r="H318" s="3">
        <v>1.5</v>
      </c>
      <c r="I318" s="2">
        <v>101</v>
      </c>
      <c r="P318" s="6" t="s">
        <v>941</v>
      </c>
      <c r="Q318" s="2">
        <v>140.28</v>
      </c>
    </row>
    <row r="319" spans="1:17">
      <c r="A319" s="5" t="s">
        <v>254</v>
      </c>
      <c r="B319" s="6" t="s">
        <v>316</v>
      </c>
      <c r="C319" s="6" t="s">
        <v>504</v>
      </c>
      <c r="D319" s="2">
        <v>15</v>
      </c>
      <c r="E319" s="2">
        <v>40</v>
      </c>
      <c r="F319" s="2"/>
      <c r="G319" s="3">
        <v>100</v>
      </c>
      <c r="H319" s="3">
        <v>1.5</v>
      </c>
      <c r="I319" s="2">
        <v>101</v>
      </c>
      <c r="P319" s="6" t="s">
        <v>942</v>
      </c>
      <c r="Q319" s="2">
        <v>140.28</v>
      </c>
    </row>
    <row r="320" spans="1:17">
      <c r="A320" s="5" t="s">
        <v>255</v>
      </c>
      <c r="B320" s="6" t="s">
        <v>317</v>
      </c>
      <c r="C320" s="6" t="s">
        <v>504</v>
      </c>
      <c r="D320" s="2">
        <v>15</v>
      </c>
      <c r="E320" s="2">
        <v>60</v>
      </c>
      <c r="F320" s="2" t="s">
        <v>345</v>
      </c>
      <c r="G320" s="3">
        <v>100</v>
      </c>
      <c r="H320" s="3">
        <v>1.5</v>
      </c>
      <c r="I320" s="2">
        <v>143.69999999999999</v>
      </c>
      <c r="P320" s="6" t="s">
        <v>943</v>
      </c>
      <c r="Q320" s="2">
        <v>219.81</v>
      </c>
    </row>
    <row r="321" spans="1:17">
      <c r="A321" s="5" t="s">
        <v>255</v>
      </c>
      <c r="B321" s="6" t="s">
        <v>317</v>
      </c>
      <c r="C321" s="6" t="s">
        <v>504</v>
      </c>
      <c r="D321" s="2">
        <v>15</v>
      </c>
      <c r="E321" s="2">
        <v>60</v>
      </c>
      <c r="F321" s="3" t="s">
        <v>339</v>
      </c>
      <c r="G321" s="3">
        <v>100</v>
      </c>
      <c r="H321" s="3">
        <v>1.5</v>
      </c>
      <c r="I321" s="2">
        <v>139.69999999999999</v>
      </c>
      <c r="P321" s="6" t="s">
        <v>943</v>
      </c>
      <c r="Q321" s="2">
        <v>210</v>
      </c>
    </row>
    <row r="322" spans="1:17">
      <c r="A322" s="5" t="s">
        <v>255</v>
      </c>
      <c r="B322" s="6" t="s">
        <v>317</v>
      </c>
      <c r="C322" s="6" t="s">
        <v>504</v>
      </c>
      <c r="D322" s="2">
        <v>15</v>
      </c>
      <c r="E322" s="2">
        <v>60</v>
      </c>
      <c r="F322" s="3" t="s">
        <v>340</v>
      </c>
      <c r="G322" s="3">
        <v>100</v>
      </c>
      <c r="H322" s="3">
        <v>1.5</v>
      </c>
      <c r="I322" s="2">
        <v>139.69999999999999</v>
      </c>
      <c r="P322" s="6" t="s">
        <v>943</v>
      </c>
      <c r="Q322" s="2">
        <v>210</v>
      </c>
    </row>
    <row r="323" spans="1:17">
      <c r="A323" s="5" t="s">
        <v>256</v>
      </c>
      <c r="B323" s="6" t="s">
        <v>317</v>
      </c>
      <c r="C323" s="6" t="s">
        <v>504</v>
      </c>
      <c r="D323" s="2">
        <v>15</v>
      </c>
      <c r="E323" s="2">
        <v>60</v>
      </c>
      <c r="F323" s="2"/>
      <c r="G323" s="3">
        <v>50</v>
      </c>
      <c r="H323" s="3">
        <v>1.5</v>
      </c>
      <c r="I323" s="2">
        <v>79.349999999999994</v>
      </c>
      <c r="P323" s="6" t="s">
        <v>973</v>
      </c>
      <c r="Q323" s="2">
        <v>126</v>
      </c>
    </row>
    <row r="324" spans="1:17">
      <c r="A324" s="5" t="s">
        <v>257</v>
      </c>
      <c r="B324" s="6" t="s">
        <v>318</v>
      </c>
      <c r="C324" s="6" t="s">
        <v>505</v>
      </c>
      <c r="D324" s="2">
        <v>20</v>
      </c>
      <c r="E324" s="2">
        <v>24</v>
      </c>
      <c r="F324" s="2"/>
      <c r="G324" s="3">
        <v>100</v>
      </c>
      <c r="H324" s="3">
        <v>1.5</v>
      </c>
      <c r="I324" s="2">
        <v>70.349999999999994</v>
      </c>
      <c r="P324" s="6" t="s">
        <v>944</v>
      </c>
      <c r="Q324" s="2">
        <v>105</v>
      </c>
    </row>
    <row r="325" spans="1:17">
      <c r="A325" s="5" t="s">
        <v>258</v>
      </c>
      <c r="B325" s="6" t="s">
        <v>319</v>
      </c>
      <c r="C325" s="6" t="s">
        <v>505</v>
      </c>
      <c r="D325" s="2">
        <v>20</v>
      </c>
      <c r="E325" s="2">
        <v>36</v>
      </c>
      <c r="F325" s="2"/>
      <c r="G325" s="3">
        <v>100</v>
      </c>
      <c r="H325" s="3">
        <v>1.5</v>
      </c>
      <c r="I325" s="2">
        <v>101</v>
      </c>
      <c r="P325" s="6" t="s">
        <v>945</v>
      </c>
      <c r="Q325" s="2">
        <v>140.28</v>
      </c>
    </row>
    <row r="326" spans="1:17">
      <c r="A326" s="5" t="s">
        <v>259</v>
      </c>
      <c r="B326" s="6" t="s">
        <v>320</v>
      </c>
      <c r="C326" s="6" t="s">
        <v>505</v>
      </c>
      <c r="D326" s="2">
        <v>20</v>
      </c>
      <c r="E326" s="2">
        <v>40</v>
      </c>
      <c r="F326" s="2"/>
      <c r="G326" s="3">
        <v>100</v>
      </c>
      <c r="H326" s="3">
        <v>1.5</v>
      </c>
      <c r="I326" s="2">
        <v>101</v>
      </c>
      <c r="P326" s="6" t="s">
        <v>946</v>
      </c>
      <c r="Q326" s="2">
        <v>140.28</v>
      </c>
    </row>
    <row r="327" spans="1:17">
      <c r="A327" s="5" t="s">
        <v>260</v>
      </c>
      <c r="B327" s="6" t="s">
        <v>321</v>
      </c>
      <c r="C327" s="6" t="s">
        <v>505</v>
      </c>
      <c r="D327" s="2">
        <v>20</v>
      </c>
      <c r="E327" s="2">
        <v>60</v>
      </c>
      <c r="F327" s="2" t="s">
        <v>345</v>
      </c>
      <c r="G327" s="3">
        <v>100</v>
      </c>
      <c r="H327" s="3">
        <v>1.5</v>
      </c>
      <c r="I327" s="2">
        <v>143.69999999999999</v>
      </c>
      <c r="P327" s="6" t="s">
        <v>947</v>
      </c>
      <c r="Q327" s="2">
        <v>219.81</v>
      </c>
    </row>
    <row r="328" spans="1:17">
      <c r="A328" s="5" t="s">
        <v>260</v>
      </c>
      <c r="B328" s="6" t="s">
        <v>321</v>
      </c>
      <c r="C328" s="6" t="s">
        <v>505</v>
      </c>
      <c r="D328" s="2">
        <v>20</v>
      </c>
      <c r="E328" s="2">
        <v>60</v>
      </c>
      <c r="F328" s="3" t="s">
        <v>339</v>
      </c>
      <c r="G328" s="3">
        <v>100</v>
      </c>
      <c r="H328" s="3">
        <v>1.5</v>
      </c>
      <c r="I328" s="2">
        <v>139.69999999999999</v>
      </c>
      <c r="P328" s="6" t="s">
        <v>947</v>
      </c>
      <c r="Q328" s="2">
        <v>210</v>
      </c>
    </row>
    <row r="329" spans="1:17">
      <c r="A329" s="5" t="s">
        <v>260</v>
      </c>
      <c r="B329" s="6" t="s">
        <v>321</v>
      </c>
      <c r="C329" s="6" t="s">
        <v>505</v>
      </c>
      <c r="D329" s="2">
        <v>20</v>
      </c>
      <c r="E329" s="2">
        <v>60</v>
      </c>
      <c r="F329" s="3" t="s">
        <v>340</v>
      </c>
      <c r="G329" s="3">
        <v>100</v>
      </c>
      <c r="H329" s="3">
        <v>1.5</v>
      </c>
      <c r="I329" s="2">
        <v>139.69999999999999</v>
      </c>
      <c r="P329" s="6" t="s">
        <v>947</v>
      </c>
      <c r="Q329" s="2">
        <v>210</v>
      </c>
    </row>
    <row r="330" spans="1:17">
      <c r="A330" s="5" t="s">
        <v>261</v>
      </c>
      <c r="B330" s="6" t="s">
        <v>321</v>
      </c>
      <c r="C330" s="6" t="s">
        <v>505</v>
      </c>
      <c r="D330" s="2">
        <v>20</v>
      </c>
      <c r="E330" s="2">
        <v>60</v>
      </c>
      <c r="F330" s="2"/>
      <c r="G330" s="3">
        <v>50</v>
      </c>
      <c r="H330" s="3">
        <v>1.5</v>
      </c>
      <c r="I330" s="2">
        <v>79.349999999999994</v>
      </c>
      <c r="P330" s="6" t="s">
        <v>974</v>
      </c>
      <c r="Q330" s="2">
        <v>126</v>
      </c>
    </row>
    <row r="331" spans="1:17">
      <c r="A331" s="5" t="s">
        <v>262</v>
      </c>
      <c r="B331" s="6" t="s">
        <v>322</v>
      </c>
      <c r="C331" s="6" t="s">
        <v>506</v>
      </c>
      <c r="D331" s="2">
        <v>35</v>
      </c>
      <c r="E331" s="2">
        <v>24</v>
      </c>
      <c r="F331" s="2"/>
      <c r="G331" s="3">
        <v>100</v>
      </c>
      <c r="H331" s="3">
        <v>1.5</v>
      </c>
      <c r="I331" s="2">
        <v>70.349999999999994</v>
      </c>
      <c r="P331" s="6" t="s">
        <v>948</v>
      </c>
      <c r="Q331" s="2">
        <v>105</v>
      </c>
    </row>
    <row r="332" spans="1:17">
      <c r="A332" s="5" t="s">
        <v>263</v>
      </c>
      <c r="B332" s="6" t="s">
        <v>323</v>
      </c>
      <c r="C332" s="6" t="s">
        <v>506</v>
      </c>
      <c r="D332" s="2">
        <v>35</v>
      </c>
      <c r="E332" s="2">
        <v>36</v>
      </c>
      <c r="F332" s="2"/>
      <c r="G332" s="3">
        <v>100</v>
      </c>
      <c r="H332" s="3">
        <v>1.5</v>
      </c>
      <c r="I332" s="2">
        <v>101</v>
      </c>
      <c r="P332" s="6" t="s">
        <v>949</v>
      </c>
      <c r="Q332" s="2">
        <v>140.28</v>
      </c>
    </row>
    <row r="333" spans="1:17">
      <c r="A333" s="5" t="s">
        <v>264</v>
      </c>
      <c r="B333" s="6" t="s">
        <v>324</v>
      </c>
      <c r="C333" s="6" t="s">
        <v>506</v>
      </c>
      <c r="D333" s="2">
        <v>35</v>
      </c>
      <c r="E333" s="2">
        <v>40</v>
      </c>
      <c r="F333" s="2"/>
      <c r="G333" s="3">
        <v>100</v>
      </c>
      <c r="H333" s="3">
        <v>1.5</v>
      </c>
      <c r="I333" s="2">
        <v>101</v>
      </c>
      <c r="P333" s="6" t="s">
        <v>950</v>
      </c>
      <c r="Q333" s="2">
        <v>140.28</v>
      </c>
    </row>
    <row r="334" spans="1:17">
      <c r="A334" s="5" t="s">
        <v>265</v>
      </c>
      <c r="B334" s="6" t="s">
        <v>325</v>
      </c>
      <c r="C334" s="6" t="s">
        <v>506</v>
      </c>
      <c r="D334" s="2">
        <v>35</v>
      </c>
      <c r="E334" s="2">
        <v>60</v>
      </c>
      <c r="F334" s="2" t="s">
        <v>345</v>
      </c>
      <c r="G334" s="3">
        <v>100</v>
      </c>
      <c r="H334" s="3">
        <v>1.5</v>
      </c>
      <c r="I334" s="2">
        <v>143.69999999999999</v>
      </c>
      <c r="P334" s="6" t="s">
        <v>951</v>
      </c>
      <c r="Q334" s="2">
        <v>219.81</v>
      </c>
    </row>
    <row r="335" spans="1:17">
      <c r="A335" s="5" t="s">
        <v>265</v>
      </c>
      <c r="B335" s="6" t="s">
        <v>325</v>
      </c>
      <c r="C335" s="6" t="s">
        <v>506</v>
      </c>
      <c r="D335" s="2">
        <v>35</v>
      </c>
      <c r="E335" s="2">
        <v>60</v>
      </c>
      <c r="F335" s="3" t="s">
        <v>339</v>
      </c>
      <c r="G335" s="3">
        <v>100</v>
      </c>
      <c r="H335" s="3">
        <v>1.5</v>
      </c>
      <c r="I335" s="2">
        <v>139.69999999999999</v>
      </c>
      <c r="P335" s="6" t="s">
        <v>951</v>
      </c>
      <c r="Q335" s="2">
        <v>210</v>
      </c>
    </row>
    <row r="336" spans="1:17">
      <c r="A336" s="5" t="s">
        <v>265</v>
      </c>
      <c r="B336" s="6" t="s">
        <v>325</v>
      </c>
      <c r="C336" s="6" t="s">
        <v>506</v>
      </c>
      <c r="D336" s="2">
        <v>35</v>
      </c>
      <c r="E336" s="2">
        <v>60</v>
      </c>
      <c r="F336" s="3" t="s">
        <v>340</v>
      </c>
      <c r="G336" s="3">
        <v>100</v>
      </c>
      <c r="H336" s="3">
        <v>1.5</v>
      </c>
      <c r="I336" s="2">
        <v>139.69999999999999</v>
      </c>
      <c r="P336" s="6" t="s">
        <v>951</v>
      </c>
      <c r="Q336" s="2">
        <v>210</v>
      </c>
    </row>
    <row r="337" spans="1:17">
      <c r="A337" s="5" t="s">
        <v>266</v>
      </c>
      <c r="B337" s="6" t="s">
        <v>325</v>
      </c>
      <c r="C337" s="6" t="s">
        <v>506</v>
      </c>
      <c r="D337" s="2">
        <v>35</v>
      </c>
      <c r="E337" s="2">
        <v>60</v>
      </c>
      <c r="F337" s="2"/>
      <c r="G337" s="3">
        <v>50</v>
      </c>
      <c r="H337" s="3">
        <v>1.5</v>
      </c>
      <c r="I337" s="2">
        <v>79.349999999999994</v>
      </c>
      <c r="P337" s="6" t="s">
        <v>975</v>
      </c>
      <c r="Q337" s="2">
        <v>126</v>
      </c>
    </row>
    <row r="338" spans="1:17">
      <c r="A338" s="5" t="s">
        <v>267</v>
      </c>
      <c r="B338" s="6" t="s">
        <v>326</v>
      </c>
      <c r="C338" s="6" t="s">
        <v>507</v>
      </c>
      <c r="D338" s="2">
        <v>40</v>
      </c>
      <c r="E338" s="2">
        <v>24</v>
      </c>
      <c r="F338" s="2"/>
      <c r="G338" s="3">
        <v>100</v>
      </c>
      <c r="H338" s="3">
        <v>1.5</v>
      </c>
      <c r="I338" s="2">
        <v>70.349999999999994</v>
      </c>
      <c r="P338" s="6" t="s">
        <v>952</v>
      </c>
      <c r="Q338" s="2">
        <v>105</v>
      </c>
    </row>
    <row r="339" spans="1:17">
      <c r="A339" s="5" t="s">
        <v>268</v>
      </c>
      <c r="B339" s="6" t="s">
        <v>327</v>
      </c>
      <c r="C339" s="6" t="s">
        <v>507</v>
      </c>
      <c r="D339" s="2">
        <v>40</v>
      </c>
      <c r="E339" s="2">
        <v>36</v>
      </c>
      <c r="F339" s="2"/>
      <c r="G339" s="3">
        <v>100</v>
      </c>
      <c r="H339" s="3">
        <v>1.5</v>
      </c>
      <c r="I339" s="2">
        <v>99</v>
      </c>
      <c r="P339" s="6" t="s">
        <v>953</v>
      </c>
      <c r="Q339" s="2">
        <v>140.28</v>
      </c>
    </row>
    <row r="340" spans="1:17">
      <c r="A340" s="5" t="s">
        <v>269</v>
      </c>
      <c r="B340" s="6" t="s">
        <v>328</v>
      </c>
      <c r="C340" s="6" t="s">
        <v>507</v>
      </c>
      <c r="D340" s="2">
        <v>40</v>
      </c>
      <c r="E340" s="2">
        <v>40</v>
      </c>
      <c r="F340" s="2"/>
      <c r="G340" s="3">
        <v>100</v>
      </c>
      <c r="H340" s="3">
        <v>1.5</v>
      </c>
      <c r="I340" s="2">
        <v>99</v>
      </c>
      <c r="P340" s="6" t="s">
        <v>954</v>
      </c>
      <c r="Q340" s="2">
        <v>140.28</v>
      </c>
    </row>
    <row r="341" spans="1:17">
      <c r="A341" s="5" t="s">
        <v>270</v>
      </c>
      <c r="B341" s="6" t="s">
        <v>329</v>
      </c>
      <c r="C341" s="6" t="s">
        <v>507</v>
      </c>
      <c r="D341" s="2">
        <v>40</v>
      </c>
      <c r="E341" s="2">
        <v>60</v>
      </c>
      <c r="F341" s="2" t="s">
        <v>345</v>
      </c>
      <c r="G341" s="3">
        <v>100</v>
      </c>
      <c r="H341" s="3">
        <v>1.5</v>
      </c>
      <c r="I341" s="2">
        <v>143.69999999999999</v>
      </c>
      <c r="P341" s="6" t="s">
        <v>955</v>
      </c>
      <c r="Q341" s="2">
        <v>219.81</v>
      </c>
    </row>
    <row r="342" spans="1:17">
      <c r="A342" s="5" t="s">
        <v>270</v>
      </c>
      <c r="B342" s="6" t="s">
        <v>329</v>
      </c>
      <c r="C342" s="6" t="s">
        <v>507</v>
      </c>
      <c r="D342" s="2">
        <v>40</v>
      </c>
      <c r="E342" s="2">
        <v>60</v>
      </c>
      <c r="F342" s="3" t="s">
        <v>339</v>
      </c>
      <c r="G342" s="3">
        <v>100</v>
      </c>
      <c r="H342" s="3">
        <v>1.5</v>
      </c>
      <c r="I342" s="2">
        <v>139.69999999999999</v>
      </c>
      <c r="P342" s="6" t="s">
        <v>955</v>
      </c>
      <c r="Q342" s="2">
        <v>210</v>
      </c>
    </row>
    <row r="343" spans="1:17">
      <c r="A343" s="5" t="s">
        <v>270</v>
      </c>
      <c r="B343" s="6" t="s">
        <v>329</v>
      </c>
      <c r="C343" s="6" t="s">
        <v>507</v>
      </c>
      <c r="D343" s="2">
        <v>40</v>
      </c>
      <c r="E343" s="2">
        <v>60</v>
      </c>
      <c r="F343" s="3" t="s">
        <v>340</v>
      </c>
      <c r="G343" s="3">
        <v>100</v>
      </c>
      <c r="H343" s="3">
        <v>1.5</v>
      </c>
      <c r="I343" s="2">
        <v>139.69999999999999</v>
      </c>
      <c r="P343" s="6" t="s">
        <v>955</v>
      </c>
      <c r="Q343" s="2">
        <v>210</v>
      </c>
    </row>
    <row r="344" spans="1:17">
      <c r="A344" s="5" t="s">
        <v>271</v>
      </c>
      <c r="B344" s="6" t="s">
        <v>329</v>
      </c>
      <c r="C344" s="6" t="s">
        <v>507</v>
      </c>
      <c r="D344" s="2">
        <v>40</v>
      </c>
      <c r="E344" s="2">
        <v>60</v>
      </c>
      <c r="F344" s="2"/>
      <c r="G344" s="3">
        <v>50</v>
      </c>
      <c r="H344" s="3">
        <v>1.5</v>
      </c>
      <c r="I344" s="2">
        <v>79.349999999999994</v>
      </c>
      <c r="P344" s="6" t="s">
        <v>976</v>
      </c>
      <c r="Q344" s="2">
        <v>126</v>
      </c>
    </row>
    <row r="345" spans="1:17">
      <c r="A345" s="5" t="s">
        <v>272</v>
      </c>
      <c r="B345" s="6" t="s">
        <v>509</v>
      </c>
      <c r="C345" s="6" t="s">
        <v>513</v>
      </c>
      <c r="D345" s="2">
        <v>50</v>
      </c>
      <c r="E345" s="2">
        <v>24</v>
      </c>
      <c r="F345" s="2"/>
      <c r="G345" s="3">
        <v>100</v>
      </c>
      <c r="H345" s="3">
        <v>1.5</v>
      </c>
      <c r="I345" s="2">
        <v>73.8</v>
      </c>
      <c r="P345" s="6" t="s">
        <v>956</v>
      </c>
      <c r="Q345" s="2">
        <v>105</v>
      </c>
    </row>
    <row r="346" spans="1:17">
      <c r="A346" s="5" t="s">
        <v>273</v>
      </c>
      <c r="B346" s="6" t="s">
        <v>510</v>
      </c>
      <c r="C346" s="6" t="s">
        <v>513</v>
      </c>
      <c r="D346" s="2">
        <v>50</v>
      </c>
      <c r="E346" s="2">
        <v>36</v>
      </c>
      <c r="F346" s="2"/>
      <c r="G346" s="3">
        <v>100</v>
      </c>
      <c r="H346" s="3">
        <v>1.5</v>
      </c>
      <c r="I346" s="2">
        <v>103</v>
      </c>
      <c r="P346" s="6" t="s">
        <v>957</v>
      </c>
      <c r="Q346" s="2">
        <v>140.28</v>
      </c>
    </row>
    <row r="347" spans="1:17">
      <c r="A347" s="5" t="s">
        <v>274</v>
      </c>
      <c r="B347" s="6" t="s">
        <v>511</v>
      </c>
      <c r="C347" s="6" t="s">
        <v>513</v>
      </c>
      <c r="D347" s="2">
        <v>50</v>
      </c>
      <c r="E347" s="2">
        <v>40</v>
      </c>
      <c r="F347" s="2"/>
      <c r="G347" s="3">
        <v>100</v>
      </c>
      <c r="H347" s="3">
        <v>1.5</v>
      </c>
      <c r="I347" s="2">
        <v>103</v>
      </c>
      <c r="P347" s="6" t="s">
        <v>958</v>
      </c>
      <c r="Q347" s="2">
        <v>140.28</v>
      </c>
    </row>
    <row r="348" spans="1:17">
      <c r="A348" s="5" t="s">
        <v>275</v>
      </c>
      <c r="B348" s="6" t="s">
        <v>512</v>
      </c>
      <c r="C348" s="6" t="s">
        <v>513</v>
      </c>
      <c r="D348" s="2">
        <v>50</v>
      </c>
      <c r="E348" s="2">
        <v>60</v>
      </c>
      <c r="F348" s="2" t="s">
        <v>345</v>
      </c>
      <c r="G348" s="3">
        <v>100</v>
      </c>
      <c r="H348" s="3">
        <v>1.5</v>
      </c>
      <c r="I348" s="2">
        <v>150.6</v>
      </c>
      <c r="P348" s="6" t="s">
        <v>959</v>
      </c>
      <c r="Q348" s="2">
        <v>219.81</v>
      </c>
    </row>
    <row r="349" spans="1:17">
      <c r="A349" s="5" t="s">
        <v>275</v>
      </c>
      <c r="B349" s="6" t="s">
        <v>512</v>
      </c>
      <c r="C349" s="6" t="s">
        <v>513</v>
      </c>
      <c r="D349" s="2">
        <v>50</v>
      </c>
      <c r="E349" s="2">
        <v>60</v>
      </c>
      <c r="F349" s="3" t="s">
        <v>339</v>
      </c>
      <c r="G349" s="3">
        <v>100</v>
      </c>
      <c r="H349" s="3">
        <v>1.5</v>
      </c>
      <c r="I349" s="2">
        <v>146.6</v>
      </c>
      <c r="P349" s="6" t="s">
        <v>959</v>
      </c>
      <c r="Q349" s="2">
        <v>210</v>
      </c>
    </row>
    <row r="350" spans="1:17">
      <c r="A350" s="5" t="s">
        <v>275</v>
      </c>
      <c r="B350" s="6" t="s">
        <v>512</v>
      </c>
      <c r="C350" s="6" t="s">
        <v>513</v>
      </c>
      <c r="D350" s="2">
        <v>50</v>
      </c>
      <c r="E350" s="2">
        <v>60</v>
      </c>
      <c r="F350" s="3" t="s">
        <v>340</v>
      </c>
      <c r="G350" s="3">
        <v>100</v>
      </c>
      <c r="H350" s="3">
        <v>1.5</v>
      </c>
      <c r="I350" s="2">
        <v>146.6</v>
      </c>
      <c r="P350" s="6" t="s">
        <v>959</v>
      </c>
      <c r="Q350" s="2">
        <v>210</v>
      </c>
    </row>
    <row r="351" spans="1:17">
      <c r="A351" s="5" t="s">
        <v>276</v>
      </c>
      <c r="B351" s="6" t="s">
        <v>512</v>
      </c>
      <c r="C351" s="6" t="s">
        <v>513</v>
      </c>
      <c r="D351" s="2">
        <v>50</v>
      </c>
      <c r="E351" s="2">
        <v>60</v>
      </c>
      <c r="F351" s="2"/>
      <c r="G351" s="3">
        <v>50</v>
      </c>
      <c r="H351" s="3">
        <v>1.5</v>
      </c>
      <c r="I351" s="2">
        <v>82.8</v>
      </c>
      <c r="P351" s="6" t="s">
        <v>977</v>
      </c>
      <c r="Q351" s="2">
        <v>126</v>
      </c>
    </row>
    <row r="352" spans="1:17">
      <c r="A352" s="5" t="s">
        <v>277</v>
      </c>
      <c r="B352" s="6" t="s">
        <v>330</v>
      </c>
      <c r="C352" s="6" t="s">
        <v>508</v>
      </c>
      <c r="D352" s="2">
        <v>70</v>
      </c>
      <c r="E352" s="2">
        <v>24</v>
      </c>
      <c r="F352" s="2"/>
      <c r="G352" s="3">
        <v>100</v>
      </c>
      <c r="H352" s="3">
        <v>1.5</v>
      </c>
      <c r="I352" s="2">
        <v>85.2</v>
      </c>
      <c r="P352" s="6" t="s">
        <v>960</v>
      </c>
      <c r="Q352" s="2">
        <v>117.08</v>
      </c>
    </row>
    <row r="353" spans="1:19">
      <c r="A353" s="5" t="s">
        <v>278</v>
      </c>
      <c r="B353" s="6" t="s">
        <v>331</v>
      </c>
      <c r="C353" s="6" t="s">
        <v>508</v>
      </c>
      <c r="D353" s="2">
        <v>70</v>
      </c>
      <c r="E353" s="2">
        <v>36</v>
      </c>
      <c r="F353" s="2"/>
      <c r="G353" s="3">
        <v>100</v>
      </c>
      <c r="H353" s="3">
        <v>1.5</v>
      </c>
      <c r="I353" s="2">
        <v>120.8</v>
      </c>
      <c r="P353" s="6" t="s">
        <v>961</v>
      </c>
      <c r="Q353" s="2">
        <v>156.03</v>
      </c>
    </row>
    <row r="354" spans="1:19">
      <c r="A354" s="5" t="s">
        <v>279</v>
      </c>
      <c r="B354" s="6" t="s">
        <v>332</v>
      </c>
      <c r="C354" s="6" t="s">
        <v>508</v>
      </c>
      <c r="D354" s="2">
        <v>70</v>
      </c>
      <c r="E354" s="2">
        <v>40</v>
      </c>
      <c r="F354" s="2"/>
      <c r="G354" s="3">
        <v>100</v>
      </c>
      <c r="H354" s="3">
        <v>1.5</v>
      </c>
      <c r="I354" s="2">
        <v>120.8</v>
      </c>
      <c r="P354" s="6" t="s">
        <v>962</v>
      </c>
      <c r="Q354" s="2">
        <v>156.03</v>
      </c>
    </row>
    <row r="355" spans="1:19">
      <c r="A355" s="5" t="s">
        <v>280</v>
      </c>
      <c r="B355" s="6" t="s">
        <v>333</v>
      </c>
      <c r="C355" s="6" t="s">
        <v>508</v>
      </c>
      <c r="D355" s="2">
        <v>70</v>
      </c>
      <c r="E355" s="2">
        <v>60</v>
      </c>
      <c r="F355" s="2" t="s">
        <v>345</v>
      </c>
      <c r="G355" s="3">
        <v>100</v>
      </c>
      <c r="H355" s="3">
        <v>1.5</v>
      </c>
      <c r="I355" s="2">
        <v>173.4</v>
      </c>
      <c r="P355" s="6" t="s">
        <v>963</v>
      </c>
      <c r="Q355" s="2">
        <v>243.96</v>
      </c>
      <c r="R355" s="2"/>
    </row>
    <row r="356" spans="1:19">
      <c r="A356" s="5" t="s">
        <v>280</v>
      </c>
      <c r="B356" s="6" t="s">
        <v>333</v>
      </c>
      <c r="C356" s="6" t="s">
        <v>508</v>
      </c>
      <c r="D356" s="2">
        <v>70</v>
      </c>
      <c r="E356" s="2">
        <v>60</v>
      </c>
      <c r="F356" s="3" t="s">
        <v>339</v>
      </c>
      <c r="G356" s="3">
        <v>100</v>
      </c>
      <c r="H356" s="3">
        <v>1.5</v>
      </c>
      <c r="I356" s="2">
        <v>169.4</v>
      </c>
      <c r="P356" s="6" t="s">
        <v>963</v>
      </c>
      <c r="Q356" s="2">
        <v>234.15</v>
      </c>
    </row>
    <row r="357" spans="1:19">
      <c r="A357" s="5" t="s">
        <v>280</v>
      </c>
      <c r="B357" s="6" t="s">
        <v>333</v>
      </c>
      <c r="C357" s="6" t="s">
        <v>508</v>
      </c>
      <c r="D357" s="2">
        <v>70</v>
      </c>
      <c r="E357" s="2">
        <v>60</v>
      </c>
      <c r="F357" s="3" t="s">
        <v>340</v>
      </c>
      <c r="G357" s="3">
        <v>100</v>
      </c>
      <c r="H357" s="3">
        <v>1.5</v>
      </c>
      <c r="I357" s="2">
        <v>169.4</v>
      </c>
      <c r="P357" s="6" t="s">
        <v>963</v>
      </c>
      <c r="Q357" s="2">
        <v>234.15</v>
      </c>
    </row>
    <row r="358" spans="1:19">
      <c r="A358" s="5" t="s">
        <v>281</v>
      </c>
      <c r="B358" s="6" t="s">
        <v>333</v>
      </c>
      <c r="C358" s="6" t="s">
        <v>508</v>
      </c>
      <c r="D358" s="2">
        <v>70</v>
      </c>
      <c r="E358" s="2">
        <v>60</v>
      </c>
      <c r="F358" s="2"/>
      <c r="G358" s="3">
        <v>50</v>
      </c>
      <c r="H358" s="3">
        <v>1.5</v>
      </c>
      <c r="I358" s="2">
        <v>94.2</v>
      </c>
      <c r="P358" s="6" t="s">
        <v>978</v>
      </c>
      <c r="Q358" s="2">
        <v>140.49</v>
      </c>
    </row>
    <row r="359" spans="1:19" ht="15.75" customHeight="1">
      <c r="A359" s="5" t="s">
        <v>646</v>
      </c>
      <c r="B359" s="8" t="s">
        <v>648</v>
      </c>
      <c r="D359" s="3">
        <v>15</v>
      </c>
      <c r="E359" s="3">
        <v>60</v>
      </c>
      <c r="G359" s="3">
        <v>100</v>
      </c>
      <c r="H359" s="3">
        <v>2</v>
      </c>
      <c r="I359" s="3">
        <v>144</v>
      </c>
      <c r="L359" s="5" t="s">
        <v>646</v>
      </c>
      <c r="M359" s="3">
        <v>288.60550458715596</v>
      </c>
      <c r="R359" s="5" t="s">
        <v>650</v>
      </c>
      <c r="S359">
        <v>144</v>
      </c>
    </row>
    <row r="360" spans="1:19">
      <c r="A360" s="5" t="s">
        <v>647</v>
      </c>
      <c r="B360" s="8" t="s">
        <v>649</v>
      </c>
      <c r="D360" s="3">
        <v>15</v>
      </c>
      <c r="E360" s="3">
        <v>72</v>
      </c>
      <c r="G360" s="3">
        <v>100</v>
      </c>
      <c r="H360" s="3">
        <v>2</v>
      </c>
      <c r="I360" s="3">
        <v>170</v>
      </c>
      <c r="L360" s="5" t="s">
        <v>647</v>
      </c>
      <c r="M360" s="3">
        <v>346.32660550458712</v>
      </c>
      <c r="R360" s="5" t="s">
        <v>651</v>
      </c>
      <c r="S360">
        <v>170</v>
      </c>
    </row>
    <row r="361" spans="1:19" ht="15.75" customHeight="1">
      <c r="A361" s="5" t="s">
        <v>652</v>
      </c>
      <c r="B361" s="8" t="s">
        <v>653</v>
      </c>
      <c r="D361" s="3">
        <v>25</v>
      </c>
      <c r="E361" s="3">
        <v>60</v>
      </c>
      <c r="G361" s="3">
        <v>100</v>
      </c>
      <c r="H361" s="3">
        <v>2</v>
      </c>
      <c r="I361" s="3">
        <v>144</v>
      </c>
      <c r="L361" s="5" t="s">
        <v>652</v>
      </c>
      <c r="M361" s="3">
        <v>288.60550458715596</v>
      </c>
      <c r="R361" s="5" t="s">
        <v>654</v>
      </c>
      <c r="S361">
        <v>144</v>
      </c>
    </row>
    <row r="362" spans="1:19">
      <c r="A362" s="5" t="s">
        <v>655</v>
      </c>
      <c r="B362" s="8" t="s">
        <v>656</v>
      </c>
      <c r="D362" s="3">
        <v>25</v>
      </c>
      <c r="E362" s="3">
        <v>72</v>
      </c>
      <c r="G362" s="3">
        <v>100</v>
      </c>
      <c r="H362" s="3">
        <v>2</v>
      </c>
      <c r="I362" s="3">
        <v>170</v>
      </c>
      <c r="L362" s="5" t="s">
        <v>655</v>
      </c>
      <c r="M362" s="3">
        <v>346.32660550458712</v>
      </c>
      <c r="R362" s="5" t="s">
        <v>657</v>
      </c>
      <c r="S362">
        <v>170</v>
      </c>
    </row>
    <row r="363" spans="1:19" ht="15.75" customHeight="1">
      <c r="A363" s="5" t="s">
        <v>664</v>
      </c>
      <c r="B363" s="8" t="s">
        <v>665</v>
      </c>
      <c r="D363" s="3">
        <v>5</v>
      </c>
      <c r="E363" s="3">
        <v>60</v>
      </c>
      <c r="G363" s="3">
        <v>100</v>
      </c>
      <c r="H363" s="3">
        <v>2</v>
      </c>
      <c r="I363" s="3">
        <v>144</v>
      </c>
      <c r="L363" s="5" t="s">
        <v>664</v>
      </c>
      <c r="M363" s="3">
        <v>257.68</v>
      </c>
      <c r="R363" s="5" t="s">
        <v>666</v>
      </c>
      <c r="S363">
        <v>144</v>
      </c>
    </row>
    <row r="364" spans="1:19">
      <c r="A364" s="5" t="s">
        <v>667</v>
      </c>
      <c r="B364" s="8" t="s">
        <v>668</v>
      </c>
      <c r="D364" s="3">
        <v>5</v>
      </c>
      <c r="E364" s="3">
        <v>72</v>
      </c>
      <c r="G364" s="3">
        <v>100</v>
      </c>
      <c r="H364" s="3">
        <v>2</v>
      </c>
      <c r="I364" s="3">
        <v>170</v>
      </c>
      <c r="L364" s="5" t="s">
        <v>667</v>
      </c>
      <c r="M364" s="3">
        <v>309.22000000000003</v>
      </c>
      <c r="R364" s="5" t="s">
        <v>669</v>
      </c>
      <c r="S364">
        <v>170</v>
      </c>
    </row>
    <row r="365" spans="1:19" ht="15.75" customHeight="1">
      <c r="A365" s="5" t="s">
        <v>660</v>
      </c>
      <c r="B365" s="8" t="s">
        <v>658</v>
      </c>
      <c r="D365" s="3">
        <v>15</v>
      </c>
      <c r="E365" s="3">
        <v>60</v>
      </c>
      <c r="G365" s="3">
        <v>100</v>
      </c>
      <c r="H365" s="3">
        <v>2</v>
      </c>
      <c r="I365" s="3">
        <v>144</v>
      </c>
      <c r="L365" s="5" t="s">
        <v>660</v>
      </c>
      <c r="M365" s="3">
        <v>257.68</v>
      </c>
      <c r="R365" s="5" t="s">
        <v>661</v>
      </c>
      <c r="S365">
        <v>144</v>
      </c>
    </row>
    <row r="366" spans="1:19">
      <c r="A366" s="5" t="s">
        <v>662</v>
      </c>
      <c r="B366" s="8" t="s">
        <v>659</v>
      </c>
      <c r="D366" s="3">
        <v>15</v>
      </c>
      <c r="E366" s="3">
        <v>72</v>
      </c>
      <c r="G366" s="3">
        <v>100</v>
      </c>
      <c r="H366" s="3">
        <v>2</v>
      </c>
      <c r="I366" s="3">
        <v>170</v>
      </c>
      <c r="L366" s="5" t="s">
        <v>662</v>
      </c>
      <c r="M366" s="3">
        <v>309.22000000000003</v>
      </c>
      <c r="R366" s="5" t="s">
        <v>663</v>
      </c>
      <c r="S366">
        <v>170</v>
      </c>
    </row>
    <row r="367" spans="1:19" ht="15.75" customHeight="1">
      <c r="A367" s="5" t="s">
        <v>670</v>
      </c>
      <c r="B367" s="8" t="s">
        <v>671</v>
      </c>
      <c r="D367" s="3">
        <v>25</v>
      </c>
      <c r="E367" s="3">
        <v>60</v>
      </c>
      <c r="G367" s="3">
        <v>100</v>
      </c>
      <c r="H367" s="3">
        <v>2</v>
      </c>
      <c r="I367" s="3">
        <v>144</v>
      </c>
      <c r="L367" s="5" t="s">
        <v>670</v>
      </c>
      <c r="M367" s="3">
        <v>257.68</v>
      </c>
      <c r="R367" s="5" t="s">
        <v>672</v>
      </c>
      <c r="S367">
        <v>144</v>
      </c>
    </row>
    <row r="368" spans="1:19">
      <c r="A368" s="5" t="s">
        <v>673</v>
      </c>
      <c r="B368" s="8" t="s">
        <v>674</v>
      </c>
      <c r="D368" s="3">
        <v>25</v>
      </c>
      <c r="E368" s="3">
        <v>72</v>
      </c>
      <c r="G368" s="3">
        <v>100</v>
      </c>
      <c r="H368" s="3">
        <v>2</v>
      </c>
      <c r="I368" s="3">
        <v>170</v>
      </c>
      <c r="L368" s="5" t="s">
        <v>673</v>
      </c>
      <c r="M368" s="3">
        <v>309.22000000000003</v>
      </c>
      <c r="R368" s="5" t="s">
        <v>675</v>
      </c>
      <c r="S368">
        <v>170</v>
      </c>
    </row>
    <row r="369" spans="1:19" ht="15.75" customHeight="1">
      <c r="A369" s="5" t="s">
        <v>676</v>
      </c>
      <c r="B369" s="8" t="s">
        <v>677</v>
      </c>
      <c r="D369" s="3">
        <v>35</v>
      </c>
      <c r="E369" s="3">
        <v>60</v>
      </c>
      <c r="G369" s="3">
        <v>100</v>
      </c>
      <c r="H369" s="3">
        <v>2</v>
      </c>
      <c r="I369" s="3">
        <v>144</v>
      </c>
      <c r="L369" s="5" t="s">
        <v>676</v>
      </c>
      <c r="M369" s="3">
        <v>257.68</v>
      </c>
      <c r="R369" s="5" t="s">
        <v>678</v>
      </c>
      <c r="S369">
        <v>144</v>
      </c>
    </row>
    <row r="370" spans="1:19">
      <c r="A370" s="5" t="s">
        <v>679</v>
      </c>
      <c r="B370" s="8" t="s">
        <v>680</v>
      </c>
      <c r="D370" s="3">
        <v>35</v>
      </c>
      <c r="E370" s="3">
        <v>72</v>
      </c>
      <c r="G370" s="3">
        <v>100</v>
      </c>
      <c r="H370" s="3">
        <v>2</v>
      </c>
      <c r="I370" s="3">
        <v>170</v>
      </c>
      <c r="L370" s="5" t="s">
        <v>679</v>
      </c>
      <c r="M370" s="3">
        <v>309.22000000000003</v>
      </c>
      <c r="R370" s="5" t="s">
        <v>681</v>
      </c>
      <c r="S370">
        <v>170</v>
      </c>
    </row>
  </sheetData>
  <mergeCells count="15">
    <mergeCell ref="F1:F2"/>
    <mergeCell ref="A1:A2"/>
    <mergeCell ref="B1:B2"/>
    <mergeCell ref="C1:C2"/>
    <mergeCell ref="D1:D2"/>
    <mergeCell ref="E1:E2"/>
    <mergeCell ref="T1:U1"/>
    <mergeCell ref="P1:Q1"/>
    <mergeCell ref="R1:S1"/>
    <mergeCell ref="G1:G2"/>
    <mergeCell ref="H1:H2"/>
    <mergeCell ref="I1:I2"/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2026-01-06T18:13:34Z</dcterms:created>
  <dcterms:modified xsi:type="dcterms:W3CDTF">2026-10-26T15:14:37Z</dcterms:modified>
</cp:coreProperties>
</file>