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bookViews>
    <workbookView xWindow="0" yWindow="0" windowWidth="22395" windowHeight="10110" activeTab="1"/>
  </bookViews>
  <sheets>
    <sheet name="UVIRON" sheetId="3" r:id="rId1"/>
    <sheet name="GEOSHIELD" sheetId="1" r:id="rId2"/>
    <sheet name="Data" sheetId="4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2">Data!$A:$A,Data!#REF!</definedName>
    <definedName name="_xlnm.Print_Titles" localSheetId="1">GEOSHIELD!$A:$A,GEOSHIELD!#REF!</definedName>
    <definedName name="_xlnm.Print_Titles" localSheetId="0">UVIRON!$A:$A,UVIRON!#REF!</definedName>
    <definedName name="QB_COLUMN_121" localSheetId="2" hidden="1">Data!#REF!</definedName>
    <definedName name="QB_COLUMN_121" localSheetId="1" hidden="1">GEOSHIELD!#REF!</definedName>
    <definedName name="QB_COLUMN_121" localSheetId="0" hidden="1">UVIRON!#REF!</definedName>
    <definedName name="QB_COLUMN_122" localSheetId="2" hidden="1">Data!#REF!</definedName>
    <definedName name="QB_COLUMN_122" localSheetId="1" hidden="1">GEOSHIELD!#REF!</definedName>
    <definedName name="QB_COLUMN_122" localSheetId="0" hidden="1">UVIRON!#REF!</definedName>
    <definedName name="QB_COLUMN_139" localSheetId="2" hidden="1">Data!#REF!</definedName>
    <definedName name="QB_COLUMN_139" localSheetId="1" hidden="1">GEOSHIELD!#REF!</definedName>
    <definedName name="QB_COLUMN_139" localSheetId="0" hidden="1">UVIRON!#REF!</definedName>
    <definedName name="QB_COLUMN_188" localSheetId="2" hidden="1">Data!#REF!</definedName>
    <definedName name="QB_COLUMN_188" localSheetId="1" hidden="1">GEOSHIELD!#REF!</definedName>
    <definedName name="QB_COLUMN_188" localSheetId="0" hidden="1">UVIRON!#REF!</definedName>
    <definedName name="QB_COLUMN_189" localSheetId="2" hidden="1">Data!#REF!</definedName>
    <definedName name="QB_COLUMN_189" localSheetId="1" hidden="1">GEOSHIELD!#REF!</definedName>
    <definedName name="QB_COLUMN_189" localSheetId="0" hidden="1">UVIRON!#REF!</definedName>
    <definedName name="QB_COLUMN_210" localSheetId="2" hidden="1">Data!#REF!</definedName>
    <definedName name="QB_COLUMN_210" localSheetId="1" hidden="1">GEOSHIELD!#REF!</definedName>
    <definedName name="QB_COLUMN_210" localSheetId="0" hidden="1">UVIRON!#REF!</definedName>
    <definedName name="QB_COLUMN_36" localSheetId="2" hidden="1">Data!#REF!</definedName>
    <definedName name="QB_COLUMN_36" localSheetId="1" hidden="1">GEOSHIELD!#REF!</definedName>
    <definedName name="QB_COLUMN_36" localSheetId="0" hidden="1">UVIRON!#REF!</definedName>
    <definedName name="QB_COLUMN_37" localSheetId="2" hidden="1">Data!#REF!</definedName>
    <definedName name="QB_COLUMN_37" localSheetId="1" hidden="1">GEOSHIELD!#REF!</definedName>
    <definedName name="QB_COLUMN_37" localSheetId="0" hidden="1">UVIRON!#REF!</definedName>
    <definedName name="QB_COLUMN_38" localSheetId="2" hidden="1">Data!#REF!</definedName>
    <definedName name="QB_COLUMN_38" localSheetId="1" hidden="1">GEOSHIELD!#REF!</definedName>
    <definedName name="QB_COLUMN_38" localSheetId="0" hidden="1">UVIRON!#REF!</definedName>
    <definedName name="QB_COLUMN_44" localSheetId="2" hidden="1">Data!#REF!</definedName>
    <definedName name="QB_COLUMN_44" localSheetId="1" hidden="1">GEOSHIELD!#REF!</definedName>
    <definedName name="QB_COLUMN_44" localSheetId="0" hidden="1">UVIRON!#REF!</definedName>
    <definedName name="QB_COLUMN_45" localSheetId="2" hidden="1">Data!#REF!</definedName>
    <definedName name="QB_COLUMN_45" localSheetId="1" hidden="1">GEOSHIELD!#REF!</definedName>
    <definedName name="QB_COLUMN_45" localSheetId="0" hidden="1">UVIRON!#REF!</definedName>
    <definedName name="QB_COLUMN_46" localSheetId="2" hidden="1">Data!#REF!</definedName>
    <definedName name="QB_COLUMN_46" localSheetId="1" hidden="1">GEOSHIELD!#REF!</definedName>
    <definedName name="QB_COLUMN_46" localSheetId="0" hidden="1">UVIRON!#REF!</definedName>
    <definedName name="QB_COLUMN_50" localSheetId="2" hidden="1">Data!#REF!</definedName>
    <definedName name="QB_COLUMN_50" localSheetId="1" hidden="1">GEOSHIELD!#REF!</definedName>
    <definedName name="QB_COLUMN_50" localSheetId="0" hidden="1">UVIRON!#REF!</definedName>
    <definedName name="QB_DATA_0" localSheetId="2" hidden="1">Data!#REF!,Data!$3:$3,Data!#REF!,Data!#REF!,Data!$4:$4,Data!#REF!,Data!$5:$5,Data!#REF!,Data!$6:$6,Data!#REF!,Data!$7:$7,Data!#REF!,Data!$8:$8,Data!#REF!,Data!#REF!,Data!#REF!</definedName>
    <definedName name="QB_DATA_0" localSheetId="1" hidden="1">GEOSHIELD!#REF!,GEOSHIELD!#REF!,GEOSHIELD!#REF!,GEOSHIELD!#REF!,GEOSHIELD!#REF!,GEOSHIELD!#REF!,GEOSHIELD!#REF!,GEOSHIELD!#REF!,GEOSHIELD!#REF!,GEOSHIELD!#REF!,GEOSHIELD!#REF!,GEOSHIELD!#REF!,GEOSHIELD!#REF!,GEOSHIELD!#REF!,GEOSHIELD!#REF!,GEOSHIELD!#REF!</definedName>
    <definedName name="QB_DATA_0" localSheetId="0" hidden="1">UVIRON!#REF!,UVIRON!$3:$3,UVIRON!#REF!,UVIRON!#REF!,UVIRON!$4:$4,UVIRON!#REF!,UVIRON!$5:$5,UVIRON!#REF!,UVIRON!$6:$6,UVIRON!#REF!,UVIRON!$7:$7,UVIRON!#REF!,UVIRON!$8:$8,UVIRON!#REF!,UVIRON!#REF!,UVIRON!#REF!</definedName>
    <definedName name="QB_DATA_1" localSheetId="2" hidden="1">Data!#REF!,Data!#REF!,Data!$9:$9,Data!$10:$10,Data!#REF!,Data!#REF!,Data!$15:$15,Data!$16:$16,Data!$17:$17,Data!#REF!,Data!#REF!,Data!$18:$18,Data!$19:$19,Data!$20:$20,Data!#REF!,Data!$21:$21</definedName>
    <definedName name="QB_DATA_1" localSheetId="1" hidden="1">GEOSHIELD!#REF!,GEOSHIELD!#REF!,GEOSHIELD!#REF!,GEOSHIELD!#REF!,GEOSHIELD!#REF!,GEOSHIELD!#REF!,GEOSHIELD!#REF!,GEOSHIELD!#REF!,GEOSHIELD!#REF!,GEOSHIELD!#REF!,GEOSHIELD!#REF!,GEOSHIELD!#REF!,GEOSHIELD!#REF!,GEOSHIELD!#REF!,GEOSHIELD!#REF!,GEOSHIELD!#REF!</definedName>
    <definedName name="QB_DATA_1" localSheetId="0" hidden="1">UVIRON!#REF!,UVIRON!#REF!,UVIRON!$11:$11,UVIRON!$12:$12,UVIRON!#REF!,UVIRON!#REF!,UVIRON!$20:$20,UVIRON!$21:$21,UVIRON!$22:$22,UVIRON!#REF!,UVIRON!#REF!,UVIRON!$26:$26,UVIRON!$27:$27,UVIRON!$28:$28,UVIRON!#REF!,UVIRON!$32:$32</definedName>
    <definedName name="QB_DATA_10" localSheetId="2" hidden="1">Data!$139:$139,Data!$140:$140,Data!$141:$141,Data!$142:$142,Data!$143:$143,Data!$144:$144,Data!$145:$145,Data!$146:$146,Data!$147:$147,Data!$148:$148,Data!$149:$149,Data!$150:$150,Data!$151:$151</definedName>
    <definedName name="QB_DATA_10" localSheetId="1" hidden="1">GEOSHIELD!$76:$76,GEOSHIELD!$77:$77,GEOSHIELD!$78:$78,GEOSHIELD!$79:$79,GEOSHIELD!$80:$80,GEOSHIELD!$81:$81,GEOSHIELD!$82:$82,GEOSHIELD!$83:$83,GEOSHIELD!$84:$84,GEOSHIELD!#REF!,GEOSHIELD!$85:$85,GEOSHIELD!$86:$86,GEOSHIELD!$87:$87</definedName>
    <definedName name="QB_DATA_10" localSheetId="0" hidden="1">UVIRON!#REF!,UVIRON!#REF!,UVIRON!#REF!,UVIRON!#REF!,UVIRON!#REF!,UVIRON!#REF!,UVIRON!#REF!,UVIRON!#REF!,UVIRON!#REF!,UVIRON!#REF!,UVIRON!$94:$94,UVIRON!$95:$95,UVIRON!$96:$96</definedName>
    <definedName name="QB_DATA_2" localSheetId="2" hidden="1">Data!$22:$22,Data!$23:$23,Data!#REF!,Data!$24:$24,Data!$25:$25,Data!$26:$26,Data!#REF!,Data!$27:$27,Data!$28:$28,Data!$29:$29,Data!#REF!,Data!$30:$30,Data!$31:$31,Data!$32:$32,Data!#REF!,Data!#REF!</definedName>
    <definedName name="QB_DATA_2" localSheetId="1" hidden="1">GEOSHIELD!#REF!,GEOSHIELD!#REF!,GEOSHIELD!#REF!,GEOSHIELD!#REF!,GEOSHIELD!#REF!,GEOSHIELD!#REF!,GEOSHIELD!#REF!,GEOSHIELD!#REF!,GEOSHIELD!#REF!,GEOSHIELD!#REF!,GEOSHIELD!#REF!,GEOSHIELD!#REF!,GEOSHIELD!#REF!,GEOSHIELD!#REF!,GEOSHIELD!#REF!,GEOSHIELD!#REF!</definedName>
    <definedName name="QB_DATA_2" localSheetId="0" hidden="1">UVIRON!$33:$33,UVIRON!$34:$34,UVIRON!#REF!,UVIRON!$38:$38,UVIRON!$39:$39,UVIRON!$40:$40,UVIRON!#REF!,UVIRON!$44:$44,UVIRON!$45:$45,UVIRON!$46:$46,UVIRON!#REF!,UVIRON!$50:$50,UVIRON!$51:$51,UVIRON!$52:$52,UVIRON!#REF!,UVIRON!#REF!</definedName>
    <definedName name="QB_DATA_3" localSheetId="2" hidden="1">Data!$33:$33,Data!$34:$34,Data!$35:$35,Data!#REF!,Data!#REF!,Data!$36:$36,Data!$37:$37,Data!$38:$38,Data!#REF!,Data!$39:$39,Data!$40:$40,Data!$41:$41,Data!#REF!,Data!#REF!,Data!$42:$42,Data!$43:$43</definedName>
    <definedName name="QB_DATA_3" localSheetId="1" hidden="1">GEOSHIELD!#REF!,GEOSHIELD!#REF!,GEOSHIELD!#REF!,GEOSHIELD!#REF!,GEOSHIELD!#REF!,GEOSHIELD!#REF!,GEOSHIELD!#REF!,GEOSHIELD!#REF!,GEOSHIELD!#REF!,GEOSHIELD!#REF!,GEOSHIELD!#REF!,GEOSHIELD!#REF!,GEOSHIELD!#REF!,GEOSHIELD!#REF!,GEOSHIELD!#REF!,GEOSHIELD!#REF!</definedName>
    <definedName name="QB_DATA_3" localSheetId="0" hidden="1">UVIRON!$56:$56,UVIRON!$57:$57,UVIRON!$58:$58,UVIRON!#REF!,UVIRON!#REF!,UVIRON!$62:$62,UVIRON!$63:$63,UVIRON!$64:$64,UVIRON!#REF!,UVIRON!$68:$68,UVIRON!$69:$69,UVIRON!$70:$70,UVIRON!#REF!,UVIRON!#REF!,UVIRON!$74:$74,UVIRON!$75:$75</definedName>
    <definedName name="QB_DATA_4" localSheetId="2" hidden="1">Data!$44:$44,Data!$45:$45,Data!$46:$46,Data!$47:$47,Data!$48:$48,Data!$49:$49,Data!$50:$50,Data!#REF!,Data!$51:$51,Data!$52:$52,Data!#REF!,Data!$53:$53,Data!$54:$54,Data!$55:$55,Data!$56:$56,Data!$65:$65</definedName>
    <definedName name="QB_DATA_4" localSheetId="1" hidden="1">GEOSHIELD!#REF!,GEOSHIELD!#REF!,GEOSHIELD!#REF!,GEOSHIELD!#REF!,GEOSHIELD!#REF!,GEOSHIELD!#REF!,GEOSHIELD!#REF!,GEOSHIELD!#REF!,GEOSHIELD!#REF!,GEOSHIELD!#REF!,GEOSHIELD!#REF!,GEOSHIELD!#REF!,GEOSHIELD!#REF!,GEOSHIELD!#REF!,GEOSHIELD!#REF!,GEOSHIELD!$3:$3</definedName>
    <definedName name="QB_DATA_4" localSheetId="0" hidden="1">UVIRON!$76:$76,UVIRON!$80:$80,UVIRON!$81:$81,UVIRON!$82:$82,UVIRON!$86:$86,UVIRON!$87:$87,UVIRON!$88:$88,UVIRON!#REF!,UVIRON!$92:$92,UVIRON!$93:$93,UVIRON!#REF!,UVIRON!#REF!,UVIRON!#REF!,UVIRON!#REF!,UVIRON!#REF!,UVIRON!#REF!</definedName>
    <definedName name="QB_DATA_5" localSheetId="2" hidden="1">Data!$66:$66,Data!$67:$67,Data!$68:$68,Data!$69:$69,Data!$70:$70,Data!$71:$71,Data!$72:$72,Data!$73:$73,Data!$74:$74,Data!$75:$75,Data!$76:$76,Data!$77:$77,Data!$78:$78,Data!$79:$79,Data!$57:$57,Data!$58:$58</definedName>
    <definedName name="QB_DATA_5" localSheetId="1" hidden="1">GEOSHIELD!$4:$4,GEOSHIELD!$5:$5,GEOSHIELD!$6:$6,GEOSHIELD!$7:$7,GEOSHIELD!$8:$8,GEOSHIELD!$9:$9,GEOSHIELD!$10:$10,GEOSHIELD!$11:$11,GEOSHIELD!$12:$12,GEOSHIELD!$13:$13,GEOSHIELD!$14:$14,GEOSHIELD!$15:$15,GEOSHIELD!$16:$16,GEOSHIELD!$17:$17,GEOSHIELD!#REF!,GEOSHIELD!#REF!</definedName>
    <definedName name="QB_DATA_5" localSheetId="0" hidden="1">UVIRON!#REF!,UVIRON!#REF!,UVIRON!#REF!,UVIRON!#REF!,UVIRON!#REF!,UVIRON!#REF!,UVIRON!#REF!,UVIRON!#REF!,UVIRON!#REF!,UVIRON!#REF!,UVIRON!#REF!,UVIRON!#REF!,UVIRON!#REF!,UVIRON!#REF!,UVIRON!#REF!,UVIRON!#REF!</definedName>
    <definedName name="QB_DATA_6" localSheetId="2" hidden="1">Data!$59:$59,Data!$60:$60,Data!$61:$61,Data!$62:$62,Data!$63:$63,Data!$64:$64,Data!$80:$80,Data!$81:$81,Data!$82:$82,Data!$83:$83,Data!$84:$84,Data!$85:$85,Data!$86:$86,Data!$91:$91,Data!$92:$92,Data!$93:$93</definedName>
    <definedName name="QB_DATA_6" localSheetId="1" hidden="1">GEOSHIELD!#REF!,GEOSHIELD!#REF!,GEOSHIELD!#REF!,GEOSHIELD!#REF!,GEOSHIELD!#REF!,GEOSHIELD!#REF!,GEOSHIELD!$20:$20,GEOSHIELD!$21:$21,GEOSHIELD!$22:$22,GEOSHIELD!$23:$23,GEOSHIELD!$24:$24,GEOSHIELD!$25:$25,GEOSHIELD!$26:$26,GEOSHIELD!$31:$31,GEOSHIELD!$32:$32,GEOSHIELD!$33:$33</definedName>
    <definedName name="QB_DATA_6" localSheetId="0" hidden="1">UVIRON!#REF!,UVIRON!#REF!,UVIRON!#REF!,UVIRON!#REF!,UVIRON!#REF!,UVIRON!#REF!,UVIRON!#REF!,UVIRON!#REF!,UVIRON!#REF!,UVIRON!#REF!,UVIRON!#REF!,UVIRON!#REF!,UVIRON!#REF!,UVIRON!#REF!,UVIRON!#REF!,UVIRON!#REF!</definedName>
    <definedName name="QB_DATA_7" localSheetId="2" hidden="1">Data!$94:$94,Data!$95:$95,Data!$96:$96,Data!$97:$97,Data!$98:$98,Data!$99:$99,Data!$100:$100,Data!$101:$101,Data!$102:$102,Data!$103:$103,Data!$104:$104,Data!$105:$105,Data!$106:$106,Data!$107:$107,Data!$108:$108,Data!$109:$109</definedName>
    <definedName name="QB_DATA_7" localSheetId="1" hidden="1">GEOSHIELD!$34:$34,GEOSHIELD!$35:$35,GEOSHIELD!$36:$36,GEOSHIELD!$37:$37,GEOSHIELD!$38:$38,GEOSHIELD!$39:$39,GEOSHIELD!$40:$40,GEOSHIELD!$41:$41,GEOSHIELD!$42:$42,GEOSHIELD!$43:$43,GEOSHIELD!$44:$44,GEOSHIELD!$45:$45,GEOSHIELD!$46:$46,GEOSHIELD!$47:$47,GEOSHIELD!$48:$48,GEOSHIELD!$49:$49</definedName>
    <definedName name="QB_DATA_7" localSheetId="0" hidden="1">UVIRON!#REF!,UVIRON!#REF!,UVIRON!#REF!,UVIRON!#REF!,UVIRON!#REF!,UVIRON!#REF!,UVIRON!#REF!,UVIRON!#REF!,UVIRON!#REF!,UVIRON!#REF!,UVIRON!#REF!,UVIRON!#REF!,UVIRON!#REF!,UVIRON!#REF!,UVIRON!#REF!,UVIRON!#REF!</definedName>
    <definedName name="QB_DATA_8" localSheetId="2" hidden="1">Data!$110:$110,Data!$111:$111,Data!$112:$112,Data!$113:$113,Data!$114:$114,Data!$115:$115,Data!$116:$116,Data!$117:$117,Data!$118:$118,Data!$119:$119,Data!$120:$120,Data!$121:$121,Data!$122:$122,Data!$123:$123,Data!$124:$124,Data!$125:$125</definedName>
    <definedName name="QB_DATA_8" localSheetId="1" hidden="1">GEOSHIELD!$50:$50,GEOSHIELD!$51:$51,GEOSHIELD!$52:$52,GEOSHIELD!$53:$53,GEOSHIELD!$54:$54,GEOSHIELD!$55:$55,GEOSHIELD!$56:$56,GEOSHIELD!$57:$57,GEOSHIELD!$58:$58,GEOSHIELD!$59:$59,GEOSHIELD!$60:$60,GEOSHIELD!$61:$61,GEOSHIELD!$62:$62,GEOSHIELD!$63:$63,GEOSHIELD!$64:$64,GEOSHIELD!$65:$65</definedName>
    <definedName name="QB_DATA_8" localSheetId="0" hidden="1">UVIRON!#REF!,UVIRON!#REF!,UVIRON!#REF!,UVIRON!#REF!,UVIRON!#REF!,UVIRON!#REF!,UVIRON!#REF!,UVIRON!#REF!,UVIRON!#REF!,UVIRON!#REF!,UVIRON!#REF!,UVIRON!#REF!,UVIRON!#REF!,UVIRON!#REF!,UVIRON!#REF!,UVIRON!#REF!</definedName>
    <definedName name="QB_DATA_9" localSheetId="2" hidden="1">Data!$126:$126,Data!$127:$127,Data!$128:$128,Data!$129:$129,Data!$130:$130,Data!$131:$131,Data!$132:$132,Data!#REF!,Data!#REF!,Data!#REF!,Data!$133:$133,Data!$134:$134,Data!$135:$135,Data!$136:$136,Data!$137:$137,Data!$138:$138</definedName>
    <definedName name="QB_DATA_9" localSheetId="1" hidden="1">GEOSHIELD!$66:$66,GEOSHIELD!$67:$67,GEOSHIELD!$68:$68,GEOSHIELD!$69:$69,GEOSHIELD!$70:$70,GEOSHIELD!#REF!,GEOSHIELD!#REF!,GEOSHIELD!#REF!,GEOSHIELD!#REF!,GEOSHIELD!#REF!,GEOSHIELD!$71:$71,GEOSHIELD!$72:$72,GEOSHIELD!$73:$73,GEOSHIELD!$74:$74,GEOSHIELD!#REF!,GEOSHIELD!$75:$75</definedName>
    <definedName name="QB_DATA_9" localSheetId="0" hidden="1">UVIRON!#REF!,UVIRON!#REF!,UVIRON!#REF!,UVIRON!#REF!,UVIRON!#REF!,UVIRON!#REF!,UVIRON!#REF!,UVIRON!#REF!,UVIRON!#REF!,UVIRON!#REF!,UVIRON!#REF!,UVIRON!#REF!,UVIRON!#REF!,UVIRON!#REF!,UVIRON!#REF!,UVIRON!#REF!</definedName>
    <definedName name="QB_FORMULA_0" localSheetId="2" hidden="1">Data!#REF!,Data!#REF!,Data!#REF!,Data!#REF!,Data!#REF!,Data!#REF!,Data!#REF!,Data!#REF!,Data!#REF!</definedName>
    <definedName name="QB_FORMULA_0" localSheetId="1" hidden="1">GEOSHIELD!#REF!,GEOSHIELD!#REF!,GEOSHIELD!#REF!,GEOSHIELD!#REF!,GEOSHIELD!#REF!,GEOSHIELD!#REF!,GEOSHIELD!#REF!,GEOSHIELD!#REF!,GEOSHIELD!#REF!</definedName>
    <definedName name="QB_FORMULA_0" localSheetId="0" hidden="1">UVIRON!#REF!,UVIRON!#REF!,UVIRON!#REF!,UVIRON!#REF!,UVIRON!#REF!,UVIRON!#REF!,UVIRON!#REF!,UVIRON!#REF!,UVIRON!#REF!</definedName>
    <definedName name="QB_ROW_1010" localSheetId="2" hidden="1">Data!#REF!</definedName>
    <definedName name="QB_ROW_1010" localSheetId="1" hidden="1">GEOSHIELD!#REF!</definedName>
    <definedName name="QB_ROW_1010" localSheetId="0" hidden="1">UVIRON!#REF!</definedName>
    <definedName name="QB_ROW_1310" localSheetId="2" hidden="1">Data!#REF!</definedName>
    <definedName name="QB_ROW_1310" localSheetId="1" hidden="1">GEOSHIELD!#REF!</definedName>
    <definedName name="QB_ROW_1310" localSheetId="0" hidden="1">UVIRON!#REF!</definedName>
    <definedName name="QB_ROW_1591530" localSheetId="2" hidden="1">Data!$A$148</definedName>
    <definedName name="QB_ROW_1591530" localSheetId="1" hidden="1">GEOSHIELD!#REF!</definedName>
    <definedName name="QB_ROW_1591530" localSheetId="0" hidden="1">UVIRON!#REF!</definedName>
    <definedName name="QB_ROW_1771530" localSheetId="2" hidden="1">Data!$A$137</definedName>
    <definedName name="QB_ROW_1771530" localSheetId="1" hidden="1">GEOSHIELD!#REF!</definedName>
    <definedName name="QB_ROW_1771530" localSheetId="0" hidden="1">UVIRON!#REF!</definedName>
    <definedName name="QB_ROW_1786530" localSheetId="2" hidden="1">Data!$A$132</definedName>
    <definedName name="QB_ROW_1786530" localSheetId="1" hidden="1">GEOSHIELD!#REF!</definedName>
    <definedName name="QB_ROW_1786530" localSheetId="0" hidden="1">UVIRON!#REF!</definedName>
    <definedName name="QB_ROW_1851530" localSheetId="2" hidden="1">Data!$A$138</definedName>
    <definedName name="QB_ROW_1851530" localSheetId="1" hidden="1">GEOSHIELD!$A$75</definedName>
    <definedName name="QB_ROW_1851530" localSheetId="0" hidden="1">UVIRON!#REF!</definedName>
    <definedName name="QB_ROW_1852530" localSheetId="2" hidden="1">Data!$A$140</definedName>
    <definedName name="QB_ROW_1852530" localSheetId="1" hidden="1">GEOSHIELD!$A$77</definedName>
    <definedName name="QB_ROW_1852530" localSheetId="0" hidden="1">UVIRON!#REF!</definedName>
    <definedName name="QB_ROW_1854530" localSheetId="2" hidden="1">Data!$A$142</definedName>
    <definedName name="QB_ROW_1854530" localSheetId="1" hidden="1">GEOSHIELD!$A$79</definedName>
    <definedName name="QB_ROW_1854530" localSheetId="0" hidden="1">UVIRON!#REF!</definedName>
    <definedName name="QB_ROW_1855530" localSheetId="2" hidden="1">Data!$A$144</definedName>
    <definedName name="QB_ROW_1855530" localSheetId="1" hidden="1">GEOSHIELD!$A$81</definedName>
    <definedName name="QB_ROW_1855530" localSheetId="0" hidden="1">UVIRON!#REF!</definedName>
    <definedName name="QB_ROW_1974530" localSheetId="2" hidden="1">Data!$A$131</definedName>
    <definedName name="QB_ROW_1974530" localSheetId="1" hidden="1">GEOSHIELD!#REF!</definedName>
    <definedName name="QB_ROW_1974530" localSheetId="0" hidden="1">UVIRON!#REF!</definedName>
    <definedName name="QB_ROW_2749530" localSheetId="2" hidden="1">Data!$A$86</definedName>
    <definedName name="QB_ROW_2749530" localSheetId="1" hidden="1">GEOSHIELD!$A$26</definedName>
    <definedName name="QB_ROW_2749530" localSheetId="0" hidden="1">UVIRON!#REF!</definedName>
    <definedName name="QB_ROW_2750530" localSheetId="2" hidden="1">Data!$A$91</definedName>
    <definedName name="QB_ROW_2750530" localSheetId="1" hidden="1">GEOSHIELD!$A$31</definedName>
    <definedName name="QB_ROW_2750530" localSheetId="0" hidden="1">UVIRON!#REF!</definedName>
    <definedName name="QB_ROW_2751530" localSheetId="2" hidden="1">Data!$A$94</definedName>
    <definedName name="QB_ROW_2751530" localSheetId="1" hidden="1">GEOSHIELD!$A$34</definedName>
    <definedName name="QB_ROW_2751530" localSheetId="0" hidden="1">UVIRON!#REF!</definedName>
    <definedName name="QB_ROW_2752530" localSheetId="2" hidden="1">Data!$A$95</definedName>
    <definedName name="QB_ROW_2752530" localSheetId="1" hidden="1">GEOSHIELD!$A$35</definedName>
    <definedName name="QB_ROW_2752530" localSheetId="0" hidden="1">UVIRON!#REF!</definedName>
    <definedName name="QB_ROW_2753530" localSheetId="2" hidden="1">Data!$A$98</definedName>
    <definedName name="QB_ROW_2753530" localSheetId="1" hidden="1">GEOSHIELD!$A$38</definedName>
    <definedName name="QB_ROW_2753530" localSheetId="0" hidden="1">UVIRON!#REF!</definedName>
    <definedName name="QB_ROW_2754530" localSheetId="2" hidden="1">Data!$A$99</definedName>
    <definedName name="QB_ROW_2754530" localSheetId="1" hidden="1">GEOSHIELD!$A$39</definedName>
    <definedName name="QB_ROW_2754530" localSheetId="0" hidden="1">UVIRON!#REF!</definedName>
    <definedName name="QB_ROW_2755530" localSheetId="2" hidden="1">Data!$A$103</definedName>
    <definedName name="QB_ROW_2755530" localSheetId="1" hidden="1">GEOSHIELD!$A$43</definedName>
    <definedName name="QB_ROW_2755530" localSheetId="0" hidden="1">UVIRON!#REF!</definedName>
    <definedName name="QB_ROW_2756530" localSheetId="2" hidden="1">Data!$A$104</definedName>
    <definedName name="QB_ROW_2756530" localSheetId="1" hidden="1">GEOSHIELD!$A$44</definedName>
    <definedName name="QB_ROW_2756530" localSheetId="0" hidden="1">UVIRON!#REF!</definedName>
    <definedName name="QB_ROW_2757530" localSheetId="2" hidden="1">Data!$A$105</definedName>
    <definedName name="QB_ROW_2757530" localSheetId="1" hidden="1">GEOSHIELD!$A$45</definedName>
    <definedName name="QB_ROW_2757530" localSheetId="0" hidden="1">UVIRON!#REF!</definedName>
    <definedName name="QB_ROW_2758530" localSheetId="2" hidden="1">Data!$A$106</definedName>
    <definedName name="QB_ROW_2758530" localSheetId="1" hidden="1">GEOSHIELD!$A$46</definedName>
    <definedName name="QB_ROW_2758530" localSheetId="0" hidden="1">UVIRON!#REF!</definedName>
    <definedName name="QB_ROW_2774530" localSheetId="2" hidden="1">Data!$A$108</definedName>
    <definedName name="QB_ROW_2774530" localSheetId="1" hidden="1">GEOSHIELD!$A$48</definedName>
    <definedName name="QB_ROW_2774530" localSheetId="0" hidden="1">UVIRON!#REF!</definedName>
    <definedName name="QB_ROW_2775530" localSheetId="2" hidden="1">Data!$A$109</definedName>
    <definedName name="QB_ROW_2775530" localSheetId="1" hidden="1">GEOSHIELD!$A$49</definedName>
    <definedName name="QB_ROW_2775530" localSheetId="0" hidden="1">UVIRON!#REF!</definedName>
    <definedName name="QB_ROW_2832530" localSheetId="2" hidden="1">Data!$A$9</definedName>
    <definedName name="QB_ROW_2832530" localSheetId="1" hidden="1">GEOSHIELD!#REF!</definedName>
    <definedName name="QB_ROW_2832530" localSheetId="0" hidden="1">UVIRON!$A$11</definedName>
    <definedName name="QB_ROW_2833530" localSheetId="2" hidden="1">Data!$A$19</definedName>
    <definedName name="QB_ROW_2833530" localSheetId="1" hidden="1">GEOSHIELD!#REF!</definedName>
    <definedName name="QB_ROW_2833530" localSheetId="0" hidden="1">UVIRON!$A$27</definedName>
    <definedName name="QB_ROW_2834530" localSheetId="2" hidden="1">Data!$A$25</definedName>
    <definedName name="QB_ROW_2834530" localSheetId="1" hidden="1">GEOSHIELD!#REF!</definedName>
    <definedName name="QB_ROW_2834530" localSheetId="0" hidden="1">UVIRON!$A$39</definedName>
    <definedName name="QB_ROW_2835530" localSheetId="2" hidden="1">Data!$A$31</definedName>
    <definedName name="QB_ROW_2835530" localSheetId="1" hidden="1">GEOSHIELD!#REF!</definedName>
    <definedName name="QB_ROW_2835530" localSheetId="0" hidden="1">UVIRON!$A$51</definedName>
    <definedName name="QB_ROW_2841530" localSheetId="2" hidden="1">Data!$A$10</definedName>
    <definedName name="QB_ROW_2841530" localSheetId="1" hidden="1">GEOSHIELD!#REF!</definedName>
    <definedName name="QB_ROW_2841530" localSheetId="0" hidden="1">UVIRON!$A$12</definedName>
    <definedName name="QB_ROW_2842530" localSheetId="2" hidden="1">Data!$A$17</definedName>
    <definedName name="QB_ROW_2842530" localSheetId="1" hidden="1">GEOSHIELD!#REF!</definedName>
    <definedName name="QB_ROW_2842530" localSheetId="0" hidden="1">UVIRON!$A$22</definedName>
    <definedName name="QB_ROW_2843530" localSheetId="2" hidden="1">Data!$A$20</definedName>
    <definedName name="QB_ROW_2843530" localSheetId="1" hidden="1">GEOSHIELD!#REF!</definedName>
    <definedName name="QB_ROW_2843530" localSheetId="0" hidden="1">UVIRON!$A$28</definedName>
    <definedName name="QB_ROW_2844530" localSheetId="2" hidden="1">Data!$A$26</definedName>
    <definedName name="QB_ROW_2844530" localSheetId="1" hidden="1">GEOSHIELD!#REF!</definedName>
    <definedName name="QB_ROW_2844530" localSheetId="0" hidden="1">UVIRON!$A$40</definedName>
    <definedName name="QB_ROW_2845530" localSheetId="2" hidden="1">Data!$A$32</definedName>
    <definedName name="QB_ROW_2845530" localSheetId="1" hidden="1">GEOSHIELD!#REF!</definedName>
    <definedName name="QB_ROW_2845530" localSheetId="0" hidden="1">UVIRON!$A$52</definedName>
    <definedName name="QB_ROW_2850530" localSheetId="2" hidden="1">Data!$A$34</definedName>
    <definedName name="QB_ROW_2850530" localSheetId="1" hidden="1">GEOSHIELD!#REF!</definedName>
    <definedName name="QB_ROW_2850530" localSheetId="0" hidden="1">UVIRON!$A$57</definedName>
    <definedName name="QB_ROW_2851530" localSheetId="2" hidden="1">Data!$A$37</definedName>
    <definedName name="QB_ROW_2851530" localSheetId="1" hidden="1">GEOSHIELD!#REF!</definedName>
    <definedName name="QB_ROW_2851530" localSheetId="0" hidden="1">UVIRON!$A$63</definedName>
    <definedName name="QB_ROW_2852530" localSheetId="2" hidden="1">Data!$A$40</definedName>
    <definedName name="QB_ROW_2852530" localSheetId="1" hidden="1">GEOSHIELD!#REF!</definedName>
    <definedName name="QB_ROW_2852530" localSheetId="0" hidden="1">UVIRON!$A$69</definedName>
    <definedName name="QB_ROW_2853530" localSheetId="2" hidden="1">Data!$A$43</definedName>
    <definedName name="QB_ROW_2853530" localSheetId="1" hidden="1">GEOSHIELD!#REF!</definedName>
    <definedName name="QB_ROW_2853530" localSheetId="0" hidden="1">UVIRON!$A$75</definedName>
    <definedName name="QB_ROW_2854530" localSheetId="2" hidden="1">Data!$A$46</definedName>
    <definedName name="QB_ROW_2854530" localSheetId="1" hidden="1">GEOSHIELD!#REF!</definedName>
    <definedName name="QB_ROW_2854530" localSheetId="0" hidden="1">UVIRON!$A$81</definedName>
    <definedName name="QB_ROW_2855530" localSheetId="2" hidden="1">Data!$A$49</definedName>
    <definedName name="QB_ROW_2855530" localSheetId="1" hidden="1">GEOSHIELD!#REF!</definedName>
    <definedName name="QB_ROW_2855530" localSheetId="0" hidden="1">UVIRON!$A$87</definedName>
    <definedName name="QB_ROW_2856530" localSheetId="2" hidden="1">Data!$A$52</definedName>
    <definedName name="QB_ROW_2856530" localSheetId="1" hidden="1">GEOSHIELD!#REF!</definedName>
    <definedName name="QB_ROW_2856530" localSheetId="0" hidden="1">UVIRON!$A$93</definedName>
    <definedName name="QB_ROW_2873530" localSheetId="2" hidden="1">Data!$A$16</definedName>
    <definedName name="QB_ROW_2873530" localSheetId="1" hidden="1">GEOSHIELD!#REF!</definedName>
    <definedName name="QB_ROW_2873530" localSheetId="0" hidden="1">UVIRON!$A$21</definedName>
    <definedName name="QB_ROW_2876530" localSheetId="2" hidden="1">Data!#REF!</definedName>
    <definedName name="QB_ROW_2876530" localSheetId="1" hidden="1">GEOSHIELD!#REF!</definedName>
    <definedName name="QB_ROW_2876530" localSheetId="0" hidden="1">UVIRON!#REF!</definedName>
    <definedName name="QB_ROW_2877530" localSheetId="2" hidden="1">Data!#REF!</definedName>
    <definedName name="QB_ROW_2877530" localSheetId="1" hidden="1">GEOSHIELD!#REF!</definedName>
    <definedName name="QB_ROW_2877530" localSheetId="0" hidden="1">UVIRON!#REF!</definedName>
    <definedName name="QB_ROW_2888530" localSheetId="2" hidden="1">Data!#REF!</definedName>
    <definedName name="QB_ROW_2888530" localSheetId="1" hidden="1">GEOSHIELD!#REF!</definedName>
    <definedName name="QB_ROW_2888530" localSheetId="0" hidden="1">UVIRON!#REF!</definedName>
    <definedName name="QB_ROW_2889530" localSheetId="2" hidden="1">Data!#REF!</definedName>
    <definedName name="QB_ROW_2889530" localSheetId="1" hidden="1">GEOSHIELD!#REF!</definedName>
    <definedName name="QB_ROW_2889530" localSheetId="0" hidden="1">UVIRON!#REF!</definedName>
    <definedName name="QB_ROW_2890530" localSheetId="2" hidden="1">Data!#REF!</definedName>
    <definedName name="QB_ROW_2890530" localSheetId="1" hidden="1">GEOSHIELD!#REF!</definedName>
    <definedName name="QB_ROW_2890530" localSheetId="0" hidden="1">UVIRON!#REF!</definedName>
    <definedName name="QB_ROW_2917530" localSheetId="2" hidden="1">Data!$A$3</definedName>
    <definedName name="QB_ROW_2917530" localSheetId="1" hidden="1">GEOSHIELD!#REF!</definedName>
    <definedName name="QB_ROW_2917530" localSheetId="0" hidden="1">UVIRON!$A$3</definedName>
    <definedName name="QB_ROW_2918530" localSheetId="2" hidden="1">Data!$A$4</definedName>
    <definedName name="QB_ROW_2918530" localSheetId="1" hidden="1">GEOSHIELD!#REF!</definedName>
    <definedName name="QB_ROW_2918530" localSheetId="0" hidden="1">UVIRON!$A$4</definedName>
    <definedName name="QB_ROW_2919530" localSheetId="2" hidden="1">Data!$A$5</definedName>
    <definedName name="QB_ROW_2919530" localSheetId="1" hidden="1">GEOSHIELD!#REF!</definedName>
    <definedName name="QB_ROW_2919530" localSheetId="0" hidden="1">UVIRON!$A$5</definedName>
    <definedName name="QB_ROW_2920530" localSheetId="2" hidden="1">Data!$A$6</definedName>
    <definedName name="QB_ROW_2920530" localSheetId="1" hidden="1">GEOSHIELD!#REF!</definedName>
    <definedName name="QB_ROW_2920530" localSheetId="0" hidden="1">UVIRON!$A$6</definedName>
    <definedName name="QB_ROW_2921530" localSheetId="2" hidden="1">Data!$A$7</definedName>
    <definedName name="QB_ROW_2921530" localSheetId="1" hidden="1">GEOSHIELD!#REF!</definedName>
    <definedName name="QB_ROW_2921530" localSheetId="0" hidden="1">UVIRON!$A$7</definedName>
    <definedName name="QB_ROW_2944530" localSheetId="2" hidden="1">Data!$A$8</definedName>
    <definedName name="QB_ROW_2944530" localSheetId="1" hidden="1">GEOSHIELD!#REF!</definedName>
    <definedName name="QB_ROW_2944530" localSheetId="0" hidden="1">UVIRON!$A$8</definedName>
    <definedName name="QB_ROW_2948530" localSheetId="2" hidden="1">Data!$A$53</definedName>
    <definedName name="QB_ROW_2948530" localSheetId="1" hidden="1">GEOSHIELD!#REF!</definedName>
    <definedName name="QB_ROW_2948530" localSheetId="0" hidden="1">UVIRON!#REF!</definedName>
    <definedName name="QB_ROW_2949530" localSheetId="2" hidden="1">Data!$A$55</definedName>
    <definedName name="QB_ROW_2949530" localSheetId="1" hidden="1">GEOSHIELD!#REF!</definedName>
    <definedName name="QB_ROW_2949530" localSheetId="0" hidden="1">UVIRON!#REF!</definedName>
    <definedName name="QB_ROW_2950530" localSheetId="2" hidden="1">Data!$A$57</definedName>
    <definedName name="QB_ROW_2950530" localSheetId="1" hidden="1">GEOSHIELD!#REF!</definedName>
    <definedName name="QB_ROW_2950530" localSheetId="0" hidden="1">UVIRON!#REF!</definedName>
    <definedName name="QB_ROW_2951530" localSheetId="2" hidden="1">Data!$A$59</definedName>
    <definedName name="QB_ROW_2951530" localSheetId="1" hidden="1">GEOSHIELD!#REF!</definedName>
    <definedName name="QB_ROW_2951530" localSheetId="0" hidden="1">UVIRON!#REF!</definedName>
    <definedName name="QB_ROW_2952530" localSheetId="2" hidden="1">Data!$A$61</definedName>
    <definedName name="QB_ROW_2952530" localSheetId="1" hidden="1">GEOSHIELD!#REF!</definedName>
    <definedName name="QB_ROW_2952530" localSheetId="0" hidden="1">UVIRON!#REF!</definedName>
    <definedName name="QB_ROW_2953530" localSheetId="2" hidden="1">Data!$A$63</definedName>
    <definedName name="QB_ROW_2953530" localSheetId="1" hidden="1">GEOSHIELD!#REF!</definedName>
    <definedName name="QB_ROW_2953530" localSheetId="0" hidden="1">UVIRON!#REF!</definedName>
    <definedName name="QB_ROW_2954530" localSheetId="2" hidden="1">Data!$A$123</definedName>
    <definedName name="QB_ROW_2954530" localSheetId="1" hidden="1">GEOSHIELD!$A$63</definedName>
    <definedName name="QB_ROW_2954530" localSheetId="0" hidden="1">UVIRON!#REF!</definedName>
    <definedName name="QB_ROW_2967530" localSheetId="2" hidden="1">Data!$A$23</definedName>
    <definedName name="QB_ROW_2967530" localSheetId="1" hidden="1">GEOSHIELD!#REF!</definedName>
    <definedName name="QB_ROW_2967530" localSheetId="0" hidden="1">UVIRON!$A$34</definedName>
    <definedName name="QB_ROW_2968530" localSheetId="2" hidden="1">Data!$A$29</definedName>
    <definedName name="QB_ROW_2968530" localSheetId="1" hidden="1">GEOSHIELD!#REF!</definedName>
    <definedName name="QB_ROW_2968530" localSheetId="0" hidden="1">UVIRON!$A$46</definedName>
    <definedName name="QB_ROW_2969530" localSheetId="2" hidden="1">Data!$A$35</definedName>
    <definedName name="QB_ROW_2969530" localSheetId="1" hidden="1">GEOSHIELD!#REF!</definedName>
    <definedName name="QB_ROW_2969530" localSheetId="0" hidden="1">UVIRON!$A$58</definedName>
    <definedName name="QB_ROW_2970530" localSheetId="2" hidden="1">Data!$A$38</definedName>
    <definedName name="QB_ROW_2970530" localSheetId="1" hidden="1">GEOSHIELD!#REF!</definedName>
    <definedName name="QB_ROW_2970530" localSheetId="0" hidden="1">UVIRON!$A$64</definedName>
    <definedName name="QB_ROW_2971530" localSheetId="2" hidden="1">Data!$A$41</definedName>
    <definedName name="QB_ROW_2971530" localSheetId="1" hidden="1">GEOSHIELD!#REF!</definedName>
    <definedName name="QB_ROW_2971530" localSheetId="0" hidden="1">UVIRON!$A$70</definedName>
    <definedName name="QB_ROW_2972530" localSheetId="2" hidden="1">Data!$A$44</definedName>
    <definedName name="QB_ROW_2972530" localSheetId="1" hidden="1">GEOSHIELD!#REF!</definedName>
    <definedName name="QB_ROW_2972530" localSheetId="0" hidden="1">UVIRON!$A$76</definedName>
    <definedName name="QB_ROW_2973530" localSheetId="2" hidden="1">Data!$A$47</definedName>
    <definedName name="QB_ROW_2973530" localSheetId="1" hidden="1">GEOSHIELD!#REF!</definedName>
    <definedName name="QB_ROW_2973530" localSheetId="0" hidden="1">UVIRON!$A$82</definedName>
    <definedName name="QB_ROW_2974530" localSheetId="2" hidden="1">Data!$A$50</definedName>
    <definedName name="QB_ROW_2974530" localSheetId="1" hidden="1">GEOSHIELD!#REF!</definedName>
    <definedName name="QB_ROW_2974530" localSheetId="0" hidden="1">UVIRON!$A$88</definedName>
    <definedName name="QB_ROW_2975530" localSheetId="2" hidden="1">Data!#REF!</definedName>
    <definedName name="QB_ROW_2975530" localSheetId="1" hidden="1">GEOSHIELD!#REF!</definedName>
    <definedName name="QB_ROW_2975530" localSheetId="0" hidden="1">UVIRON!#REF!</definedName>
    <definedName name="QB_ROW_3028530" localSheetId="2" hidden="1">Data!$A$129</definedName>
    <definedName name="QB_ROW_3028530" localSheetId="1" hidden="1">GEOSHIELD!$A$69</definedName>
    <definedName name="QB_ROW_3028530" localSheetId="0" hidden="1">UVIRON!#REF!</definedName>
    <definedName name="QB_ROW_3031530" localSheetId="2" hidden="1">Data!$A$58</definedName>
    <definedName name="QB_ROW_3031530" localSheetId="1" hidden="1">GEOSHIELD!#REF!</definedName>
    <definedName name="QB_ROW_3031530" localSheetId="0" hidden="1">UVIRON!#REF!</definedName>
    <definedName name="QB_ROW_3042530" localSheetId="2" hidden="1">Data!#REF!</definedName>
    <definedName name="QB_ROW_3042530" localSheetId="1" hidden="1">GEOSHIELD!#REF!</definedName>
    <definedName name="QB_ROW_3042530" localSheetId="0" hidden="1">UVIRON!#REF!</definedName>
    <definedName name="QB_ROW_3043530" localSheetId="2" hidden="1">Data!#REF!</definedName>
    <definedName name="QB_ROW_3043530" localSheetId="1" hidden="1">GEOSHIELD!#REF!</definedName>
    <definedName name="QB_ROW_3043530" localSheetId="0" hidden="1">UVIRON!#REF!</definedName>
    <definedName name="QB_ROW_3044530" localSheetId="2" hidden="1">Data!#REF!</definedName>
    <definedName name="QB_ROW_3044530" localSheetId="1" hidden="1">GEOSHIELD!#REF!</definedName>
    <definedName name="QB_ROW_3044530" localSheetId="0" hidden="1">UVIRON!#REF!</definedName>
    <definedName name="QB_ROW_3045530" localSheetId="2" hidden="1">Data!#REF!</definedName>
    <definedName name="QB_ROW_3045530" localSheetId="1" hidden="1">GEOSHIELD!#REF!</definedName>
    <definedName name="QB_ROW_3045530" localSheetId="0" hidden="1">UVIRON!#REF!</definedName>
    <definedName name="QB_ROW_3046530" localSheetId="2" hidden="1">Data!#REF!</definedName>
    <definedName name="QB_ROW_3046530" localSheetId="1" hidden="1">GEOSHIELD!#REF!</definedName>
    <definedName name="QB_ROW_3046530" localSheetId="0" hidden="1">UVIRON!#REF!</definedName>
    <definedName name="QB_ROW_3047530" localSheetId="2" hidden="1">Data!#REF!</definedName>
    <definedName name="QB_ROW_3047530" localSheetId="1" hidden="1">GEOSHIELD!#REF!</definedName>
    <definedName name="QB_ROW_3047530" localSheetId="0" hidden="1">UVIRON!#REF!</definedName>
    <definedName name="QB_ROW_3071530" localSheetId="2" hidden="1">Data!$A$54</definedName>
    <definedName name="QB_ROW_3071530" localSheetId="1" hidden="1">GEOSHIELD!#REF!</definedName>
    <definedName name="QB_ROW_3071530" localSheetId="0" hidden="1">UVIRON!#REF!</definedName>
    <definedName name="QB_ROW_3072530" localSheetId="2" hidden="1">Data!$A$60</definedName>
    <definedName name="QB_ROW_3072530" localSheetId="1" hidden="1">GEOSHIELD!#REF!</definedName>
    <definedName name="QB_ROW_3072530" localSheetId="0" hidden="1">UVIRON!#REF!</definedName>
    <definedName name="QB_ROW_3073530" localSheetId="2" hidden="1">Data!$A$62</definedName>
    <definedName name="QB_ROW_3073530" localSheetId="1" hidden="1">GEOSHIELD!#REF!</definedName>
    <definedName name="QB_ROW_3073530" localSheetId="0" hidden="1">UVIRON!#REF!</definedName>
    <definedName name="QB_ROW_3090530" localSheetId="2" hidden="1">Data!#REF!</definedName>
    <definedName name="QB_ROW_3090530" localSheetId="1" hidden="1">GEOSHIELD!#REF!</definedName>
    <definedName name="QB_ROW_3090530" localSheetId="0" hidden="1">UVIRON!#REF!</definedName>
    <definedName name="QB_ROW_3091530" localSheetId="2" hidden="1">Data!$A$15</definedName>
    <definedName name="QB_ROW_3091530" localSheetId="1" hidden="1">GEOSHIELD!#REF!</definedName>
    <definedName name="QB_ROW_3091530" localSheetId="0" hidden="1">UVIRON!$A$20</definedName>
    <definedName name="QB_ROW_3092530" localSheetId="2" hidden="1">Data!$A$21</definedName>
    <definedName name="QB_ROW_3092530" localSheetId="1" hidden="1">GEOSHIELD!#REF!</definedName>
    <definedName name="QB_ROW_3092530" localSheetId="0" hidden="1">UVIRON!$A$32</definedName>
    <definedName name="QB_ROW_3093530" localSheetId="2" hidden="1">Data!#REF!</definedName>
    <definedName name="QB_ROW_3093530" localSheetId="1" hidden="1">GEOSHIELD!#REF!</definedName>
    <definedName name="QB_ROW_3093530" localSheetId="0" hidden="1">UVIRON!#REF!</definedName>
    <definedName name="QB_ROW_3099530" localSheetId="2" hidden="1">Data!$A$24</definedName>
    <definedName name="QB_ROW_3099530" localSheetId="1" hidden="1">GEOSHIELD!#REF!</definedName>
    <definedName name="QB_ROW_3099530" localSheetId="0" hidden="1">UVIRON!$A$38</definedName>
    <definedName name="QB_ROW_3100530" localSheetId="2" hidden="1">Data!#REF!</definedName>
    <definedName name="QB_ROW_3100530" localSheetId="1" hidden="1">GEOSHIELD!#REF!</definedName>
    <definedName name="QB_ROW_3100530" localSheetId="0" hidden="1">UVIRON!#REF!</definedName>
    <definedName name="QB_ROW_3102530" localSheetId="2" hidden="1">Data!$A$33</definedName>
    <definedName name="QB_ROW_3102530" localSheetId="1" hidden="1">GEOSHIELD!#REF!</definedName>
    <definedName name="QB_ROW_3102530" localSheetId="0" hidden="1">UVIRON!$A$56</definedName>
    <definedName name="QB_ROW_3103530" localSheetId="2" hidden="1">Data!#REF!</definedName>
    <definedName name="QB_ROW_3103530" localSheetId="1" hidden="1">GEOSHIELD!#REF!</definedName>
    <definedName name="QB_ROW_3103530" localSheetId="0" hidden="1">UVIRON!#REF!</definedName>
    <definedName name="QB_ROW_3114530" localSheetId="2" hidden="1">Data!$A$82</definedName>
    <definedName name="QB_ROW_3114530" localSheetId="1" hidden="1">GEOSHIELD!$A$22</definedName>
    <definedName name="QB_ROW_3114530" localSheetId="0" hidden="1">UVIRON!#REF!</definedName>
    <definedName name="QB_ROW_3115530" localSheetId="2" hidden="1">Data!$A$81</definedName>
    <definedName name="QB_ROW_3115530" localSheetId="1" hidden="1">GEOSHIELD!$A$21</definedName>
    <definedName name="QB_ROW_3115530" localSheetId="0" hidden="1">UVIRON!#REF!</definedName>
    <definedName name="QB_ROW_3119530" localSheetId="2" hidden="1">Data!#REF!</definedName>
    <definedName name="QB_ROW_3119530" localSheetId="1" hidden="1">GEOSHIELD!#REF!</definedName>
    <definedName name="QB_ROW_3119530" localSheetId="0" hidden="1">UVIRON!#REF!</definedName>
    <definedName name="QB_ROW_3120530" localSheetId="2" hidden="1">Data!#REF!</definedName>
    <definedName name="QB_ROW_3120530" localSheetId="1" hidden="1">GEOSHIELD!#REF!</definedName>
    <definedName name="QB_ROW_3120530" localSheetId="0" hidden="1">UVIRON!#REF!</definedName>
    <definedName name="QB_ROW_3121530" localSheetId="2" hidden="1">Data!$A$36</definedName>
    <definedName name="QB_ROW_3121530" localSheetId="1" hidden="1">GEOSHIELD!#REF!</definedName>
    <definedName name="QB_ROW_3121530" localSheetId="0" hidden="1">UVIRON!$A$62</definedName>
    <definedName name="QB_ROW_3122530" localSheetId="2" hidden="1">Data!$A$42</definedName>
    <definedName name="QB_ROW_3122530" localSheetId="1" hidden="1">GEOSHIELD!#REF!</definedName>
    <definedName name="QB_ROW_3122530" localSheetId="0" hidden="1">UVIRON!$A$74</definedName>
    <definedName name="QB_ROW_3123530" localSheetId="2" hidden="1">Data!#REF!</definedName>
    <definedName name="QB_ROW_3123530" localSheetId="1" hidden="1">GEOSHIELD!#REF!</definedName>
    <definedName name="QB_ROW_3123530" localSheetId="0" hidden="1">UVIRON!#REF!</definedName>
    <definedName name="QB_ROW_3133530" localSheetId="2" hidden="1">Data!$A$28</definedName>
    <definedName name="QB_ROW_3133530" localSheetId="1" hidden="1">GEOSHIELD!#REF!</definedName>
    <definedName name="QB_ROW_3133530" localSheetId="0" hidden="1">UVIRON!$A$45</definedName>
    <definedName name="QB_ROW_3134530" localSheetId="2" hidden="1">Data!#REF!</definedName>
    <definedName name="QB_ROW_3134530" localSheetId="1" hidden="1">GEOSHIELD!#REF!</definedName>
    <definedName name="QB_ROW_3134530" localSheetId="0" hidden="1">UVIRON!#REF!</definedName>
    <definedName name="QB_ROW_3135530" localSheetId="2" hidden="1">Data!$A$18</definedName>
    <definedName name="QB_ROW_3135530" localSheetId="1" hidden="1">GEOSHIELD!#REF!</definedName>
    <definedName name="QB_ROW_3135530" localSheetId="0" hidden="1">UVIRON!$A$26</definedName>
    <definedName name="QB_ROW_3136530" localSheetId="2" hidden="1">Data!#REF!</definedName>
    <definedName name="QB_ROW_3136530" localSheetId="1" hidden="1">GEOSHIELD!#REF!</definedName>
    <definedName name="QB_ROW_3136530" localSheetId="0" hidden="1">UVIRON!#REF!</definedName>
    <definedName name="QB_ROW_3142530" localSheetId="2" hidden="1">Data!$A$130</definedName>
    <definedName name="QB_ROW_3142530" localSheetId="1" hidden="1">GEOSHIELD!$A$70</definedName>
    <definedName name="QB_ROW_3142530" localSheetId="0" hidden="1">UVIRON!#REF!</definedName>
    <definedName name="QB_ROW_3143530" localSheetId="2" hidden="1">Data!$A$64</definedName>
    <definedName name="QB_ROW_3143530" localSheetId="1" hidden="1">GEOSHIELD!#REF!</definedName>
    <definedName name="QB_ROW_3143530" localSheetId="0" hidden="1">UVIRON!#REF!</definedName>
    <definedName name="QB_ROW_3148530" localSheetId="2" hidden="1">Data!$A$22</definedName>
    <definedName name="QB_ROW_3148530" localSheetId="1" hidden="1">GEOSHIELD!#REF!</definedName>
    <definedName name="QB_ROW_3148530" localSheetId="0" hidden="1">UVIRON!$A$33</definedName>
    <definedName name="QB_ROW_3149530" localSheetId="2" hidden="1">Data!$A$48</definedName>
    <definedName name="QB_ROW_3149530" localSheetId="1" hidden="1">GEOSHIELD!#REF!</definedName>
    <definedName name="QB_ROW_3149530" localSheetId="0" hidden="1">UVIRON!$A$86</definedName>
    <definedName name="QB_ROW_3150530" localSheetId="2" hidden="1">Data!$A$51</definedName>
    <definedName name="QB_ROW_3150530" localSheetId="1" hidden="1">GEOSHIELD!#REF!</definedName>
    <definedName name="QB_ROW_3150530" localSheetId="0" hidden="1">UVIRON!$A$92</definedName>
    <definedName name="QB_ROW_3158530" localSheetId="2" hidden="1">Data!$A$56</definedName>
    <definedName name="QB_ROW_3158530" localSheetId="1" hidden="1">GEOSHIELD!#REF!</definedName>
    <definedName name="QB_ROW_3158530" localSheetId="0" hidden="1">UVIRON!#REF!</definedName>
    <definedName name="QB_ROW_3159530" localSheetId="2" hidden="1">Data!$A$84</definedName>
    <definedName name="QB_ROW_3159530" localSheetId="1" hidden="1">GEOSHIELD!$A$24</definedName>
    <definedName name="QB_ROW_3159530" localSheetId="0" hidden="1">UVIRON!#REF!</definedName>
    <definedName name="QB_ROW_3160530" localSheetId="2" hidden="1">Data!$A$92</definedName>
    <definedName name="QB_ROW_3160530" localSheetId="1" hidden="1">GEOSHIELD!$A$32</definedName>
    <definedName name="QB_ROW_3160530" localSheetId="0" hidden="1">UVIRON!#REF!</definedName>
    <definedName name="QB_ROW_3162530" localSheetId="2" hidden="1">Data!$A$27</definedName>
    <definedName name="QB_ROW_3162530" localSheetId="1" hidden="1">GEOSHIELD!#REF!</definedName>
    <definedName name="QB_ROW_3162530" localSheetId="0" hidden="1">UVIRON!$A$44</definedName>
    <definedName name="QB_ROW_3163530" localSheetId="2" hidden="1">Data!$A$30</definedName>
    <definedName name="QB_ROW_3163530" localSheetId="1" hidden="1">GEOSHIELD!#REF!</definedName>
    <definedName name="QB_ROW_3163530" localSheetId="0" hidden="1">UVIRON!$A$50</definedName>
    <definedName name="QB_ROW_3166530" localSheetId="2" hidden="1">Data!$A$76</definedName>
    <definedName name="QB_ROW_3166530" localSheetId="1" hidden="1">GEOSHIELD!$A$14</definedName>
    <definedName name="QB_ROW_3166530" localSheetId="0" hidden="1">UVIRON!#REF!</definedName>
    <definedName name="QB_ROW_3167530" localSheetId="2" hidden="1">Data!$A$39</definedName>
    <definedName name="QB_ROW_3167530" localSheetId="1" hidden="1">GEOSHIELD!#REF!</definedName>
    <definedName name="QB_ROW_3167530" localSheetId="0" hidden="1">UVIRON!$A$68</definedName>
    <definedName name="QB_ROW_3168530" localSheetId="2" hidden="1">Data!$A$45</definedName>
    <definedName name="QB_ROW_3168530" localSheetId="1" hidden="1">GEOSHIELD!#REF!</definedName>
    <definedName name="QB_ROW_3168530" localSheetId="0" hidden="1">UVIRON!$A$80</definedName>
    <definedName name="QB_ROW_3175530" localSheetId="2" hidden="1">Data!$A$65</definedName>
    <definedName name="QB_ROW_3175530" localSheetId="1" hidden="1">GEOSHIELD!$A$3</definedName>
    <definedName name="QB_ROW_3175530" localSheetId="0" hidden="1">UVIRON!#REF!</definedName>
    <definedName name="QB_ROW_3176530" localSheetId="2" hidden="1">Data!$A$70</definedName>
    <definedName name="QB_ROW_3176530" localSheetId="1" hidden="1">GEOSHIELD!$A$8</definedName>
    <definedName name="QB_ROW_3176530" localSheetId="0" hidden="1">UVIRON!#REF!</definedName>
    <definedName name="QB_ROW_3177530" localSheetId="2" hidden="1">Data!$A$72</definedName>
    <definedName name="QB_ROW_3177530" localSheetId="1" hidden="1">GEOSHIELD!$A$10</definedName>
    <definedName name="QB_ROW_3177530" localSheetId="0" hidden="1">UVIRON!#REF!</definedName>
    <definedName name="QB_ROW_3184530" localSheetId="2" hidden="1">Data!$A$66</definedName>
    <definedName name="QB_ROW_3184530" localSheetId="1" hidden="1">GEOSHIELD!$A$4</definedName>
    <definedName name="QB_ROW_3184530" localSheetId="0" hidden="1">UVIRON!#REF!</definedName>
    <definedName name="QB_ROW_3185530" localSheetId="2" hidden="1">Data!$A$71</definedName>
    <definedName name="QB_ROW_3185530" localSheetId="1" hidden="1">GEOSHIELD!$A$9</definedName>
    <definedName name="QB_ROW_3185530" localSheetId="0" hidden="1">UVIRON!#REF!</definedName>
    <definedName name="QB_ROW_3186530" localSheetId="2" hidden="1">Data!$A$73</definedName>
    <definedName name="QB_ROW_3186530" localSheetId="1" hidden="1">GEOSHIELD!$A$11</definedName>
    <definedName name="QB_ROW_3186530" localSheetId="0" hidden="1">UVIRON!#REF!</definedName>
    <definedName name="QB_ROW_3187530" localSheetId="2" hidden="1">Data!$A$67</definedName>
    <definedName name="QB_ROW_3187530" localSheetId="1" hidden="1">GEOSHIELD!$A$5</definedName>
    <definedName name="QB_ROW_3187530" localSheetId="0" hidden="1">UVIRON!#REF!</definedName>
    <definedName name="QB_ROW_3188530" localSheetId="2" hidden="1">Data!$A$68</definedName>
    <definedName name="QB_ROW_3188530" localSheetId="1" hidden="1">GEOSHIELD!$A$6</definedName>
    <definedName name="QB_ROW_3188530" localSheetId="0" hidden="1">UVIRON!#REF!</definedName>
    <definedName name="QB_ROW_3189530" localSheetId="2" hidden="1">Data!$A$77</definedName>
    <definedName name="QB_ROW_3189530" localSheetId="1" hidden="1">GEOSHIELD!$A$15</definedName>
    <definedName name="QB_ROW_3189530" localSheetId="0" hidden="1">UVIRON!#REF!</definedName>
    <definedName name="QB_ROW_3193530" localSheetId="2" hidden="1">Data!$A$78</definedName>
    <definedName name="QB_ROW_3193530" localSheetId="1" hidden="1">GEOSHIELD!$A$16</definedName>
    <definedName name="QB_ROW_3193530" localSheetId="0" hidden="1">UVIRON!#REF!</definedName>
    <definedName name="QB_ROW_3202530" localSheetId="2" hidden="1">Data!#REF!</definedName>
    <definedName name="QB_ROW_3202530" localSheetId="1" hidden="1">GEOSHIELD!#REF!</definedName>
    <definedName name="QB_ROW_3202530" localSheetId="0" hidden="1">UVIRON!#REF!</definedName>
    <definedName name="QB_ROW_3203530" localSheetId="2" hidden="1">Data!#REF!</definedName>
    <definedName name="QB_ROW_3203530" localSheetId="1" hidden="1">GEOSHIELD!#REF!</definedName>
    <definedName name="QB_ROW_3203530" localSheetId="0" hidden="1">UVIRON!#REF!</definedName>
    <definedName name="QB_ROW_3204530" localSheetId="2" hidden="1">Data!#REF!</definedName>
    <definedName name="QB_ROW_3204530" localSheetId="1" hidden="1">GEOSHIELD!#REF!</definedName>
    <definedName name="QB_ROW_3204530" localSheetId="0" hidden="1">UVIRON!#REF!</definedName>
    <definedName name="QB_ROW_3205530" localSheetId="2" hidden="1">Data!#REF!</definedName>
    <definedName name="QB_ROW_3205530" localSheetId="1" hidden="1">GEOSHIELD!#REF!</definedName>
    <definedName name="QB_ROW_3205530" localSheetId="0" hidden="1">UVIRON!#REF!</definedName>
    <definedName name="QB_ROW_3206530" localSheetId="2" hidden="1">Data!$A$124</definedName>
    <definedName name="QB_ROW_3206530" localSheetId="1" hidden="1">GEOSHIELD!$A$64</definedName>
    <definedName name="QB_ROW_3206530" localSheetId="0" hidden="1">UVIRON!#REF!</definedName>
    <definedName name="QB_ROW_3211530" localSheetId="2" hidden="1">Data!$A$133</definedName>
    <definedName name="QB_ROW_3211530" localSheetId="1" hidden="1">GEOSHIELD!$A$71</definedName>
    <definedName name="QB_ROW_3211530" localSheetId="0" hidden="1">UVIRON!#REF!</definedName>
    <definedName name="QB_ROW_3212530" localSheetId="2" hidden="1">Data!$A$126</definedName>
    <definedName name="QB_ROW_3212530" localSheetId="1" hidden="1">GEOSHIELD!$A$66</definedName>
    <definedName name="QB_ROW_3212530" localSheetId="0" hidden="1">UVIRON!#REF!</definedName>
    <definedName name="QB_ROW_3213530" localSheetId="2" hidden="1">Data!$A$128</definedName>
    <definedName name="QB_ROW_3213530" localSheetId="1" hidden="1">GEOSHIELD!$A$68</definedName>
    <definedName name="QB_ROW_3213530" localSheetId="0" hidden="1">UVIRON!#REF!</definedName>
    <definedName name="QB_ROW_3214530" localSheetId="2" hidden="1">Data!$A$113</definedName>
    <definedName name="QB_ROW_3214530" localSheetId="1" hidden="1">GEOSHIELD!$A$53</definedName>
    <definedName name="QB_ROW_3214530" localSheetId="0" hidden="1">UVIRON!#REF!</definedName>
    <definedName name="QB_ROW_3215530" localSheetId="2" hidden="1">Data!$A$114</definedName>
    <definedName name="QB_ROW_3215530" localSheetId="1" hidden="1">GEOSHIELD!$A$54</definedName>
    <definedName name="QB_ROW_3215530" localSheetId="0" hidden="1">UVIRON!#REF!</definedName>
    <definedName name="QB_ROW_3216530" localSheetId="2" hidden="1">Data!$A$117</definedName>
    <definedName name="QB_ROW_3216530" localSheetId="1" hidden="1">GEOSHIELD!$A$57</definedName>
    <definedName name="QB_ROW_3216530" localSheetId="0" hidden="1">UVIRON!#REF!</definedName>
    <definedName name="QB_ROW_3217530" localSheetId="2" hidden="1">Data!$A$116</definedName>
    <definedName name="QB_ROW_3217530" localSheetId="1" hidden="1">GEOSHIELD!$A$56</definedName>
    <definedName name="QB_ROW_3217530" localSheetId="0" hidden="1">UVIRON!#REF!</definedName>
    <definedName name="QB_ROW_3218530" localSheetId="2" hidden="1">Data!$A$120</definedName>
    <definedName name="QB_ROW_3218530" localSheetId="1" hidden="1">GEOSHIELD!$A$60</definedName>
    <definedName name="QB_ROW_3218530" localSheetId="0" hidden="1">UVIRON!#REF!</definedName>
    <definedName name="QB_ROW_3219530" localSheetId="2" hidden="1">Data!$A$121</definedName>
    <definedName name="QB_ROW_3219530" localSheetId="1" hidden="1">GEOSHIELD!$A$61</definedName>
    <definedName name="QB_ROW_3219530" localSheetId="0" hidden="1">UVIRON!#REF!</definedName>
    <definedName name="QB_ROW_3220530" localSheetId="2" hidden="1">Data!$A$125</definedName>
    <definedName name="QB_ROW_3220530" localSheetId="1" hidden="1">GEOSHIELD!$A$65</definedName>
    <definedName name="QB_ROW_3220530" localSheetId="0" hidden="1">UVIRON!#REF!</definedName>
    <definedName name="QB_ROW_3225530" localSheetId="2" hidden="1">Data!$A$127</definedName>
    <definedName name="QB_ROW_3225530" localSheetId="1" hidden="1">GEOSHIELD!$A$67</definedName>
    <definedName name="QB_ROW_3225530" localSheetId="0" hidden="1">UVIRON!#REF!</definedName>
    <definedName name="QB_ROW_3226530" localSheetId="2" hidden="1">Data!#REF!</definedName>
    <definedName name="QB_ROW_3226530" localSheetId="1" hidden="1">GEOSHIELD!#REF!</definedName>
    <definedName name="QB_ROW_3226530" localSheetId="0" hidden="1">UVIRON!#REF!</definedName>
    <definedName name="QB_ROW_3234530" localSheetId="2" hidden="1">Data!$A$110</definedName>
    <definedName name="QB_ROW_3234530" localSheetId="1" hidden="1">GEOSHIELD!$A$50</definedName>
    <definedName name="QB_ROW_3234530" localSheetId="0" hidden="1">UVIRON!#REF!</definedName>
    <definedName name="QB_ROW_3236530" localSheetId="2" hidden="1">Data!$A$111</definedName>
    <definedName name="QB_ROW_3236530" localSheetId="1" hidden="1">GEOSHIELD!$A$51</definedName>
    <definedName name="QB_ROW_3236530" localSheetId="0" hidden="1">UVIRON!#REF!</definedName>
    <definedName name="QB_ROW_3248530" localSheetId="2" hidden="1">Data!#REF!</definedName>
    <definedName name="QB_ROW_3248530" localSheetId="1" hidden="1">GEOSHIELD!#REF!</definedName>
    <definedName name="QB_ROW_3248530" localSheetId="0" hidden="1">UVIRON!#REF!</definedName>
    <definedName name="QB_ROW_3253530" localSheetId="2" hidden="1">Data!$A$79</definedName>
    <definedName name="QB_ROW_3253530" localSheetId="1" hidden="1">GEOSHIELD!$A$17</definedName>
    <definedName name="QB_ROW_3253530" localSheetId="0" hidden="1">UVIRON!#REF!</definedName>
    <definedName name="QB_ROW_3254530" localSheetId="2" hidden="1">Data!$A$85</definedName>
    <definedName name="QB_ROW_3254530" localSheetId="1" hidden="1">GEOSHIELD!$A$25</definedName>
    <definedName name="QB_ROW_3254530" localSheetId="0" hidden="1">UVIRON!#REF!</definedName>
    <definedName name="QB_ROW_3255530" localSheetId="2" hidden="1">Data!$A$96</definedName>
    <definedName name="QB_ROW_3255530" localSheetId="1" hidden="1">GEOSHIELD!$A$36</definedName>
    <definedName name="QB_ROW_3255530" localSheetId="0" hidden="1">UVIRON!#REF!</definedName>
    <definedName name="QB_ROW_3256530" localSheetId="2" hidden="1">Data!$A$107</definedName>
    <definedName name="QB_ROW_3256530" localSheetId="1" hidden="1">GEOSHIELD!$A$47</definedName>
    <definedName name="QB_ROW_3256530" localSheetId="0" hidden="1">UVIRON!#REF!</definedName>
    <definedName name="QB_ROW_3258530" localSheetId="2" hidden="1">Data!$A$93</definedName>
    <definedName name="QB_ROW_3258530" localSheetId="1" hidden="1">GEOSHIELD!$A$33</definedName>
    <definedName name="QB_ROW_3258530" localSheetId="0" hidden="1">UVIRON!#REF!</definedName>
    <definedName name="QB_ROW_3264530" localSheetId="2" hidden="1">Data!$A$97</definedName>
    <definedName name="QB_ROW_3264530" localSheetId="1" hidden="1">GEOSHIELD!$A$37</definedName>
    <definedName name="QB_ROW_3264530" localSheetId="0" hidden="1">UVIRON!#REF!</definedName>
    <definedName name="QB_ROW_3265530" localSheetId="2" hidden="1">Data!#REF!</definedName>
    <definedName name="QB_ROW_3265530" localSheetId="1" hidden="1">GEOSHIELD!#REF!</definedName>
    <definedName name="QB_ROW_3265530" localSheetId="0" hidden="1">UVIRON!#REF!</definedName>
    <definedName name="QB_ROW_3266530" localSheetId="2" hidden="1">Data!#REF!</definedName>
    <definedName name="QB_ROW_3266530" localSheetId="1" hidden="1">GEOSHIELD!#REF!</definedName>
    <definedName name="QB_ROW_3266530" localSheetId="0" hidden="1">UVIRON!#REF!</definedName>
    <definedName name="QB_ROW_3268530" localSheetId="2" hidden="1">Data!$A$118</definedName>
    <definedName name="QB_ROW_3268530" localSheetId="1" hidden="1">GEOSHIELD!$A$58</definedName>
    <definedName name="QB_ROW_3268530" localSheetId="0" hidden="1">UVIRON!#REF!</definedName>
    <definedName name="QB_ROW_3270530" localSheetId="2" hidden="1">Data!$A$83</definedName>
    <definedName name="QB_ROW_3270530" localSheetId="1" hidden="1">GEOSHIELD!$A$23</definedName>
    <definedName name="QB_ROW_3270530" localSheetId="0" hidden="1">UVIRON!#REF!</definedName>
    <definedName name="QB_ROW_3271530" localSheetId="2" hidden="1">Data!$A$119</definedName>
    <definedName name="QB_ROW_3271530" localSheetId="1" hidden="1">GEOSHIELD!$A$59</definedName>
    <definedName name="QB_ROW_3271530" localSheetId="0" hidden="1">UVIRON!#REF!</definedName>
    <definedName name="QB_ROW_3291530" localSheetId="2" hidden="1">Data!$A$146</definedName>
    <definedName name="QB_ROW_3291530" localSheetId="1" hidden="1">GEOSHIELD!$A$83</definedName>
    <definedName name="QB_ROW_3291530" localSheetId="0" hidden="1">UVIRON!#REF!</definedName>
    <definedName name="QB_ROW_3292530" localSheetId="2" hidden="1">Data!$A$139</definedName>
    <definedName name="QB_ROW_3292530" localSheetId="1" hidden="1">GEOSHIELD!$A$76</definedName>
    <definedName name="QB_ROW_3292530" localSheetId="0" hidden="1">UVIRON!#REF!</definedName>
    <definedName name="QB_ROW_3293530" localSheetId="2" hidden="1">Data!$A$141</definedName>
    <definedName name="QB_ROW_3293530" localSheetId="1" hidden="1">GEOSHIELD!$A$78</definedName>
    <definedName name="QB_ROW_3293530" localSheetId="0" hidden="1">UVIRON!#REF!</definedName>
    <definedName name="QB_ROW_3294530" localSheetId="2" hidden="1">Data!$A$143</definedName>
    <definedName name="QB_ROW_3294530" localSheetId="1" hidden="1">GEOSHIELD!$A$80</definedName>
    <definedName name="QB_ROW_3294530" localSheetId="0" hidden="1">UVIRON!#REF!</definedName>
    <definedName name="QB_ROW_3298530" localSheetId="2" hidden="1">Data!$A$102</definedName>
    <definedName name="QB_ROW_3298530" localSheetId="1" hidden="1">GEOSHIELD!$A$42</definedName>
    <definedName name="QB_ROW_3298530" localSheetId="0" hidden="1">UVIRON!#REF!</definedName>
    <definedName name="QB_ROW_3299530" localSheetId="2" hidden="1">Data!$A$112</definedName>
    <definedName name="QB_ROW_3299530" localSheetId="1" hidden="1">GEOSHIELD!$A$52</definedName>
    <definedName name="QB_ROW_3299530" localSheetId="0" hidden="1">UVIRON!#REF!</definedName>
    <definedName name="QB_ROW_3300530" localSheetId="2" hidden="1">Data!$A$115</definedName>
    <definedName name="QB_ROW_3300530" localSheetId="1" hidden="1">GEOSHIELD!$A$55</definedName>
    <definedName name="QB_ROW_3300530" localSheetId="0" hidden="1">UVIRON!#REF!</definedName>
    <definedName name="QB_ROW_3301530" localSheetId="2" hidden="1">Data!$A$122</definedName>
    <definedName name="QB_ROW_3301530" localSheetId="1" hidden="1">GEOSHIELD!$A$62</definedName>
    <definedName name="QB_ROW_3301530" localSheetId="0" hidden="1">UVIRON!#REF!</definedName>
    <definedName name="QB_ROW_3305530" localSheetId="2" hidden="1">Data!$A$145</definedName>
    <definedName name="QB_ROW_3305530" localSheetId="1" hidden="1">GEOSHIELD!$A$82</definedName>
    <definedName name="QB_ROW_3305530" localSheetId="0" hidden="1">UVIRON!#REF!</definedName>
    <definedName name="QB_ROW_3306530" localSheetId="2" hidden="1">Data!$A$147</definedName>
    <definedName name="QB_ROW_3306530" localSheetId="1" hidden="1">GEOSHIELD!$A$84</definedName>
    <definedName name="QB_ROW_3306530" localSheetId="0" hidden="1">UVIRON!#REF!</definedName>
    <definedName name="QB_ROW_3307530" localSheetId="2" hidden="1">Data!$A$74</definedName>
    <definedName name="QB_ROW_3307530" localSheetId="1" hidden="1">GEOSHIELD!$A$12</definedName>
    <definedName name="QB_ROW_3307530" localSheetId="0" hidden="1">UVIRON!#REF!</definedName>
    <definedName name="QB_ROW_3317530" localSheetId="2" hidden="1">Data!$A$75</definedName>
    <definedName name="QB_ROW_3317530" localSheetId="1" hidden="1">GEOSHIELD!$A$13</definedName>
    <definedName name="QB_ROW_3317530" localSheetId="0" hidden="1">UVIRON!#REF!</definedName>
    <definedName name="QB_ROW_3318530" localSheetId="2" hidden="1">Data!#REF!</definedName>
    <definedName name="QB_ROW_3318530" localSheetId="1" hidden="1">GEOSHIELD!#REF!</definedName>
    <definedName name="QB_ROW_3318530" localSheetId="0" hidden="1">UVIRON!#REF!</definedName>
    <definedName name="QB_ROW_3319530" localSheetId="2" hidden="1">Data!#REF!</definedName>
    <definedName name="QB_ROW_3319530" localSheetId="1" hidden="1">GEOSHIELD!#REF!</definedName>
    <definedName name="QB_ROW_3319530" localSheetId="0" hidden="1">UVIRON!#REF!</definedName>
    <definedName name="QB_ROW_3320530" localSheetId="2" hidden="1">Data!$A$69</definedName>
    <definedName name="QB_ROW_3320530" localSheetId="1" hidden="1">GEOSHIELD!$A$7</definedName>
    <definedName name="QB_ROW_3320530" localSheetId="0" hidden="1">UVIRON!#REF!</definedName>
    <definedName name="QB_ROW_3321530" localSheetId="2" hidden="1">Data!$A$100</definedName>
    <definedName name="QB_ROW_3321530" localSheetId="1" hidden="1">GEOSHIELD!$A$40</definedName>
    <definedName name="QB_ROW_3321530" localSheetId="0" hidden="1">UVIRON!#REF!</definedName>
    <definedName name="QB_ROW_3322530" localSheetId="2" hidden="1">Data!$A$101</definedName>
    <definedName name="QB_ROW_3322530" localSheetId="1" hidden="1">GEOSHIELD!$A$41</definedName>
    <definedName name="QB_ROW_3322530" localSheetId="0" hidden="1">UVIRON!#REF!</definedName>
    <definedName name="QB_ROW_3324530" localSheetId="2" hidden="1">Data!#REF!</definedName>
    <definedName name="QB_ROW_3324530" localSheetId="1" hidden="1">GEOSHIELD!#REF!</definedName>
    <definedName name="QB_ROW_3324530" localSheetId="0" hidden="1">UVIRON!#REF!</definedName>
    <definedName name="QB_ROW_3327530" localSheetId="2" hidden="1">Data!$A$80</definedName>
    <definedName name="QB_ROW_3327530" localSheetId="1" hidden="1">GEOSHIELD!$A$20</definedName>
    <definedName name="QB_ROW_3327530" localSheetId="0" hidden="1">UVIRON!#REF!</definedName>
    <definedName name="QB_ROW_3338530" localSheetId="2" hidden="1">Data!$A$136</definedName>
    <definedName name="QB_ROW_3338530" localSheetId="1" hidden="1">GEOSHIELD!$A$74</definedName>
    <definedName name="QB_ROW_3338530" localSheetId="0" hidden="1">UVIRON!#REF!</definedName>
    <definedName name="QB_ROW_3339530" localSheetId="2" hidden="1">Data!$A$134</definedName>
    <definedName name="QB_ROW_3339530" localSheetId="1" hidden="1">GEOSHIELD!$A$72</definedName>
    <definedName name="QB_ROW_3339530" localSheetId="0" hidden="1">UVIRON!#REF!</definedName>
    <definedName name="QB_ROW_3340530" localSheetId="2" hidden="1">Data!$A$135</definedName>
    <definedName name="QB_ROW_3340530" localSheetId="1" hidden="1">GEOSHIELD!$A$73</definedName>
    <definedName name="QB_ROW_3340530" localSheetId="0" hidden="1">UVIRON!#REF!</definedName>
    <definedName name="QB_ROW_48021" localSheetId="2" hidden="1">Data!#REF!</definedName>
    <definedName name="QB_ROW_48021" localSheetId="1" hidden="1">GEOSHIELD!#REF!</definedName>
    <definedName name="QB_ROW_48021" localSheetId="0" hidden="1">UVIRON!#REF!</definedName>
    <definedName name="QB_ROW_48321" localSheetId="2" hidden="1">Data!#REF!</definedName>
    <definedName name="QB_ROW_48321" localSheetId="1" hidden="1">GEOSHIELD!#REF!</definedName>
    <definedName name="QB_ROW_48321" localSheetId="0" hidden="1">UVIRON!#REF!</definedName>
    <definedName name="QB_ROW_624301" localSheetId="2" hidden="1">Data!#REF!</definedName>
    <definedName name="QB_ROW_624301" localSheetId="1" hidden="1">GEOSHIELD!#REF!</definedName>
    <definedName name="QB_ROW_624301" localSheetId="0" hidden="1">UVIRON!#REF!</definedName>
    <definedName name="QBCANSUPPORTUPDATE" localSheetId="2">TRUE</definedName>
    <definedName name="QBCANSUPPORTUPDATE" localSheetId="1">TRUE</definedName>
    <definedName name="QBCANSUPPORTUPDATE" localSheetId="0">TRUE</definedName>
    <definedName name="QBCOMPANYFILENAME" localSheetId="2">"Z:\smp.qbw"</definedName>
    <definedName name="QBCOMPANYFILENAME" localSheetId="1">"Z:\smp.qbw"</definedName>
    <definedName name="QBCOMPANYFILENAME" localSheetId="0">"Z:\smp.qbw"</definedName>
    <definedName name="QBENDDATE" localSheetId="2">20251113</definedName>
    <definedName name="QBENDDATE" localSheetId="1">20251113</definedName>
    <definedName name="QBENDDATE" localSheetId="0">20251113</definedName>
    <definedName name="QBHEADERSONSCREEN" localSheetId="2">FALSE</definedName>
    <definedName name="QBHEADERSONSCREEN" localSheetId="1">FALSE</definedName>
    <definedName name="QBHEADERSONSCREEN" localSheetId="0">FALSE</definedName>
    <definedName name="QBMETADATASIZE" localSheetId="2">7284</definedName>
    <definedName name="QBMETADATASIZE" localSheetId="1">7284</definedName>
    <definedName name="QBMETADATASIZE" localSheetId="0">7284</definedName>
    <definedName name="QBPRESERVECOLOR" localSheetId="2">TRUE</definedName>
    <definedName name="QBPRESERVECOLOR" localSheetId="1">TRUE</definedName>
    <definedName name="QBPRESERVECOLOR" localSheetId="0">TRUE</definedName>
    <definedName name="QBPRESERVEFONT" localSheetId="2">TRUE</definedName>
    <definedName name="QBPRESERVEFONT" localSheetId="1">TRUE</definedName>
    <definedName name="QBPRESERVEFONT" localSheetId="0">TRUE</definedName>
    <definedName name="QBPRESERVEROWHEIGHT" localSheetId="2">TRUE</definedName>
    <definedName name="QBPRESERVEROWHEIGHT" localSheetId="1">TRUE</definedName>
    <definedName name="QBPRESERVEROWHEIGHT" localSheetId="0">TRUE</definedName>
    <definedName name="QBPRESERVESPACE" localSheetId="2">TRUE</definedName>
    <definedName name="QBPRESERVESPACE" localSheetId="1">TRUE</definedName>
    <definedName name="QBPRESERVESPACE" localSheetId="0">TRUE</definedName>
    <definedName name="QBREPORTCOLAXIS" localSheetId="2">0</definedName>
    <definedName name="QBREPORTCOLAXIS" localSheetId="1">0</definedName>
    <definedName name="QBREPORTCOLAXIS" localSheetId="0">0</definedName>
    <definedName name="QBREPORTCOMPANYID" localSheetId="2">"386ce0f9afb741afabea28a39b3aec7b"</definedName>
    <definedName name="QBREPORTCOMPANYID" localSheetId="1">"386ce0f9afb741afabea28a39b3aec7b"</definedName>
    <definedName name="QBREPORTCOMPANYID" localSheetId="0">"386ce0f9afb741afabea28a39b3aec7b"</definedName>
    <definedName name="QBREPORTCOMPARECOL_ANNUALBUDGET" localSheetId="2">FALSE</definedName>
    <definedName name="QBREPORTCOMPARECOL_ANNUALBUDGET" localSheetId="1">FALSE</definedName>
    <definedName name="QBREPORTCOMPARECOL_ANNUALBUDGET" localSheetId="0">FALSE</definedName>
    <definedName name="QBREPORTCOMPARECOL_AVGCOGS" localSheetId="2">FALSE</definedName>
    <definedName name="QBREPORTCOMPARECOL_AVGCOGS" localSheetId="1">FALSE</definedName>
    <definedName name="QBREPORTCOMPARECOL_AVGCOGS" localSheetId="0">FALSE</definedName>
    <definedName name="QBREPORTCOMPARECOL_AVGPRICE" localSheetId="2">FALSE</definedName>
    <definedName name="QBREPORTCOMPARECOL_AVGPRICE" localSheetId="1">FALSE</definedName>
    <definedName name="QBREPORTCOMPARECOL_AVGPRICE" localSheetId="0">FALSE</definedName>
    <definedName name="QBREPORTCOMPARECOL_BUDDIFF" localSheetId="2">FALSE</definedName>
    <definedName name="QBREPORTCOMPARECOL_BUDDIFF" localSheetId="1">FALSE</definedName>
    <definedName name="QBREPORTCOMPARECOL_BUDDIFF" localSheetId="0">FALSE</definedName>
    <definedName name="QBREPORTCOMPARECOL_BUDGET" localSheetId="2">FALSE</definedName>
    <definedName name="QBREPORTCOMPARECOL_BUDGET" localSheetId="1">FALSE</definedName>
    <definedName name="QBREPORTCOMPARECOL_BUDGET" localSheetId="0">FALSE</definedName>
    <definedName name="QBREPORTCOMPARECOL_BUDPCT" localSheetId="2">FALSE</definedName>
    <definedName name="QBREPORTCOMPARECOL_BUDPCT" localSheetId="1">FALSE</definedName>
    <definedName name="QBREPORTCOMPARECOL_BUDPCT" localSheetId="0">FALSE</definedName>
    <definedName name="QBREPORTCOMPARECOL_COGS" localSheetId="2">FALSE</definedName>
    <definedName name="QBREPORTCOMPARECOL_COGS" localSheetId="1">FALSE</definedName>
    <definedName name="QBREPORTCOMPARECOL_COGS" localSheetId="0">FALSE</definedName>
    <definedName name="QBREPORTCOMPARECOL_EXCLUDEAMOUNT" localSheetId="2">FALSE</definedName>
    <definedName name="QBREPORTCOMPARECOL_EXCLUDEAMOUNT" localSheetId="1">FALSE</definedName>
    <definedName name="QBREPORTCOMPARECOL_EXCLUDEAMOUNT" localSheetId="0">FALSE</definedName>
    <definedName name="QBREPORTCOMPARECOL_EXCLUDECURPERIOD" localSheetId="2">FALSE</definedName>
    <definedName name="QBREPORTCOMPARECOL_EXCLUDECURPERIOD" localSheetId="1">FALSE</definedName>
    <definedName name="QBREPORTCOMPARECOL_EXCLUDECURPERIOD" localSheetId="0">FALSE</definedName>
    <definedName name="QBREPORTCOMPARECOL_FORECAST" localSheetId="2">FALSE</definedName>
    <definedName name="QBREPORTCOMPARECOL_FORECAST" localSheetId="1">FALSE</definedName>
    <definedName name="QBREPORTCOMPARECOL_FORECAST" localSheetId="0">FALSE</definedName>
    <definedName name="QBREPORTCOMPARECOL_GROSSMARGIN" localSheetId="2">FALSE</definedName>
    <definedName name="QBREPORTCOMPARECOL_GROSSMARGIN" localSheetId="1">FALSE</definedName>
    <definedName name="QBREPORTCOMPARECOL_GROSSMARGIN" localSheetId="0">FALSE</definedName>
    <definedName name="QBREPORTCOMPARECOL_GROSSMARGINPCT" localSheetId="2">FALSE</definedName>
    <definedName name="QBREPORTCOMPARECOL_GROSSMARGINPCT" localSheetId="1">FALSE</definedName>
    <definedName name="QBREPORTCOMPARECOL_GROSSMARGINPCT" localSheetId="0">FALSE</definedName>
    <definedName name="QBREPORTCOMPARECOL_HOURS" localSheetId="2">FALSE</definedName>
    <definedName name="QBREPORTCOMPARECOL_HOURS" localSheetId="1">FALSE</definedName>
    <definedName name="QBREPORTCOMPARECOL_HOURS" localSheetId="0">FALSE</definedName>
    <definedName name="QBREPORTCOMPARECOL_PCTCOL" localSheetId="2">FALSE</definedName>
    <definedName name="QBREPORTCOMPARECOL_PCTCOL" localSheetId="1">FALSE</definedName>
    <definedName name="QBREPORTCOMPARECOL_PCTCOL" localSheetId="0">FALSE</definedName>
    <definedName name="QBREPORTCOMPARECOL_PCTEXPENSE" localSheetId="2">FALSE</definedName>
    <definedName name="QBREPORTCOMPARECOL_PCTEXPENSE" localSheetId="1">FALSE</definedName>
    <definedName name="QBREPORTCOMPARECOL_PCTEXPENSE" localSheetId="0">FALSE</definedName>
    <definedName name="QBREPORTCOMPARECOL_PCTINCOME" localSheetId="2">FALSE</definedName>
    <definedName name="QBREPORTCOMPARECOL_PCTINCOME" localSheetId="1">FALSE</definedName>
    <definedName name="QBREPORTCOMPARECOL_PCTINCOME" localSheetId="0">FALSE</definedName>
    <definedName name="QBREPORTCOMPARECOL_PCTOFSALES" localSheetId="2">FALSE</definedName>
    <definedName name="QBREPORTCOMPARECOL_PCTOFSALES" localSheetId="1">FALSE</definedName>
    <definedName name="QBREPORTCOMPARECOL_PCTOFSALES" localSheetId="0">FALSE</definedName>
    <definedName name="QBREPORTCOMPARECOL_PCTROW" localSheetId="2">FALSE</definedName>
    <definedName name="QBREPORTCOMPARECOL_PCTROW" localSheetId="1">FALSE</definedName>
    <definedName name="QBREPORTCOMPARECOL_PCTROW" localSheetId="0">FALSE</definedName>
    <definedName name="QBREPORTCOMPARECOL_PPDIFF" localSheetId="2">FALSE</definedName>
    <definedName name="QBREPORTCOMPARECOL_PPDIFF" localSheetId="1">FALSE</definedName>
    <definedName name="QBREPORTCOMPARECOL_PPDIFF" localSheetId="0">FALSE</definedName>
    <definedName name="QBREPORTCOMPARECOL_PPPCT" localSheetId="2">FALSE</definedName>
    <definedName name="QBREPORTCOMPARECOL_PPPCT" localSheetId="1">FALSE</definedName>
    <definedName name="QBREPORTCOMPARECOL_PPPCT" localSheetId="0">FALSE</definedName>
    <definedName name="QBREPORTCOMPARECOL_PREVPERIOD" localSheetId="2">FALSE</definedName>
    <definedName name="QBREPORTCOMPARECOL_PREVPERIOD" localSheetId="1">FALSE</definedName>
    <definedName name="QBREPORTCOMPARECOL_PREVPERIOD" localSheetId="0">FALSE</definedName>
    <definedName name="QBREPORTCOMPARECOL_PREVYEAR" localSheetId="2">FALSE</definedName>
    <definedName name="QBREPORTCOMPARECOL_PREVYEAR" localSheetId="1">FALSE</definedName>
    <definedName name="QBREPORTCOMPARECOL_PREVYEAR" localSheetId="0">FALSE</definedName>
    <definedName name="QBREPORTCOMPARECOL_PYDIFF" localSheetId="2">FALSE</definedName>
    <definedName name="QBREPORTCOMPARECOL_PYDIFF" localSheetId="1">FALSE</definedName>
    <definedName name="QBREPORTCOMPARECOL_PYDIFF" localSheetId="0">FALSE</definedName>
    <definedName name="QBREPORTCOMPARECOL_PYPCT" localSheetId="2">FALSE</definedName>
    <definedName name="QBREPORTCOMPARECOL_PYPCT" localSheetId="1">FALSE</definedName>
    <definedName name="QBREPORTCOMPARECOL_PYPCT" localSheetId="0">FALSE</definedName>
    <definedName name="QBREPORTCOMPARECOL_QTY" localSheetId="2">FALSE</definedName>
    <definedName name="QBREPORTCOMPARECOL_QTY" localSheetId="1">FALSE</definedName>
    <definedName name="QBREPORTCOMPARECOL_QTY" localSheetId="0">FALSE</definedName>
    <definedName name="QBREPORTCOMPARECOL_RATE" localSheetId="2">FALSE</definedName>
    <definedName name="QBREPORTCOMPARECOL_RATE" localSheetId="1">FALSE</definedName>
    <definedName name="QBREPORTCOMPARECOL_RATE" localSheetId="0">FALSE</definedName>
    <definedName name="QBREPORTCOMPARECOL_TRIPBILLEDMILES" localSheetId="2">FALSE</definedName>
    <definedName name="QBREPORTCOMPARECOL_TRIPBILLEDMILES" localSheetId="1">FALSE</definedName>
    <definedName name="QBREPORTCOMPARECOL_TRIPBILLEDMILES" localSheetId="0">FALSE</definedName>
    <definedName name="QBREPORTCOMPARECOL_TRIPBILLINGAMOUNT" localSheetId="2">FALSE</definedName>
    <definedName name="QBREPORTCOMPARECOL_TRIPBILLINGAMOUNT" localSheetId="1">FALSE</definedName>
    <definedName name="QBREPORTCOMPARECOL_TRIPBILLINGAMOUNT" localSheetId="0">FALSE</definedName>
    <definedName name="QBREPORTCOMPARECOL_TRIPMILES" localSheetId="2">FALSE</definedName>
    <definedName name="QBREPORTCOMPARECOL_TRIPMILES" localSheetId="1">FALSE</definedName>
    <definedName name="QBREPORTCOMPARECOL_TRIPMILES" localSheetId="0">FALSE</definedName>
    <definedName name="QBREPORTCOMPARECOL_TRIPNOTBILLABLEMILES" localSheetId="2">FALSE</definedName>
    <definedName name="QBREPORTCOMPARECOL_TRIPNOTBILLABLEMILES" localSheetId="1">FALSE</definedName>
    <definedName name="QBREPORTCOMPARECOL_TRIPNOTBILLABLEMILES" localSheetId="0">FALSE</definedName>
    <definedName name="QBREPORTCOMPARECOL_TRIPTAXDEDUCTIBLEAMOUNT" localSheetId="2">FALSE</definedName>
    <definedName name="QBREPORTCOMPARECOL_TRIPTAXDEDUCTIBLEAMOUNT" localSheetId="1">FALSE</definedName>
    <definedName name="QBREPORTCOMPARECOL_TRIPTAXDEDUCTIBLEAMOUNT" localSheetId="0">FALSE</definedName>
    <definedName name="QBREPORTCOMPARECOL_TRIPUNBILLEDMILES" localSheetId="2">FALSE</definedName>
    <definedName name="QBREPORTCOMPARECOL_TRIPUNBILLEDMILES" localSheetId="1">FALSE</definedName>
    <definedName name="QBREPORTCOMPARECOL_TRIPUNBILLEDMILES" localSheetId="0">FALSE</definedName>
    <definedName name="QBREPORTCOMPARECOL_YTD" localSheetId="2">FALSE</definedName>
    <definedName name="QBREPORTCOMPARECOL_YTD" localSheetId="1">FALSE</definedName>
    <definedName name="QBREPORTCOMPARECOL_YTD" localSheetId="0">FALSE</definedName>
    <definedName name="QBREPORTCOMPARECOL_YTDBUDGET" localSheetId="2">FALSE</definedName>
    <definedName name="QBREPORTCOMPARECOL_YTDBUDGET" localSheetId="1">FALSE</definedName>
    <definedName name="QBREPORTCOMPARECOL_YTDBUDGET" localSheetId="0">FALSE</definedName>
    <definedName name="QBREPORTCOMPARECOL_YTDPCT" localSheetId="2">FALSE</definedName>
    <definedName name="QBREPORTCOMPARECOL_YTDPCT" localSheetId="1">FALSE</definedName>
    <definedName name="QBREPORTCOMPARECOL_YTDPCT" localSheetId="0">FALSE</definedName>
    <definedName name="QBREPORTROWAXIS" localSheetId="2">119</definedName>
    <definedName name="QBREPORTROWAXIS" localSheetId="1">119</definedName>
    <definedName name="QBREPORTROWAXIS" localSheetId="0">119</definedName>
    <definedName name="QBREPORTSUBCOLAXIS" localSheetId="2">0</definedName>
    <definedName name="QBREPORTSUBCOLAXIS" localSheetId="1">0</definedName>
    <definedName name="QBREPORTSUBCOLAXIS" localSheetId="0">0</definedName>
    <definedName name="QBREPORTTYPE" localSheetId="2">89</definedName>
    <definedName name="QBREPORTTYPE" localSheetId="1">89</definedName>
    <definedName name="QBREPORTTYPE" localSheetId="0">89</definedName>
    <definedName name="QBROWHEADERS" localSheetId="2">4</definedName>
    <definedName name="QBROWHEADERS" localSheetId="1">4</definedName>
    <definedName name="QBROWHEADERS" localSheetId="0">4</definedName>
    <definedName name="QBSTARTDATE" localSheetId="2">20251101</definedName>
    <definedName name="QBSTARTDATE" localSheetId="1">20251101</definedName>
    <definedName name="QBSTARTDATE" localSheetId="0">20251101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3" i="3"/>
  <c r="L122" i="4" l="1"/>
  <c r="L118" i="4"/>
  <c r="L115" i="4"/>
  <c r="L112" i="4"/>
  <c r="L62" i="1"/>
  <c r="L58" i="1"/>
  <c r="L55" i="1"/>
  <c r="L52" i="1"/>
</calcChain>
</file>

<file path=xl/sharedStrings.xml><?xml version="1.0" encoding="utf-8"?>
<sst xmlns="http://schemas.openxmlformats.org/spreadsheetml/2006/main" count="1729" uniqueCount="574">
  <si>
    <t>B-EC-ALPX0540 (Megamax EC-ALPX, 05% 40" X 100')</t>
  </si>
  <si>
    <t>B-EC-ALPX1540 (Megamax EC-ALPX, 15% 40" X 100')</t>
  </si>
  <si>
    <t>B-EC-ALPX2040 (Megamax EC-ALPX, 20% 40" X 100')</t>
  </si>
  <si>
    <t>B-EC-ALPX3540 (Megamax EC-ALPX, 35% 40" X 100')</t>
  </si>
  <si>
    <t>B-EC-ALPX5040 (Megamax EC-ALPX, 50% 40" X 100')</t>
  </si>
  <si>
    <t>B-EC-ALPX7040 (Megamax EC-ALPX, 70% 40" X 100')</t>
  </si>
  <si>
    <t>B-EC-CBX0524 (Puremax EC-CBX, 05% 24" x 100')</t>
  </si>
  <si>
    <t>B-EC-CBX0536 (Puremax EC-CBX, 05% 36" x 100')</t>
  </si>
  <si>
    <t>B-EC-CBX0540 (Puremax EC-CBX, 05% 40" x 100')</t>
  </si>
  <si>
    <t>B-EC-CBX0560 (Puremax EC-CBX, 05% 60" x 100')</t>
  </si>
  <si>
    <t>B-EC-CBX1536 (Puremax EC-CBX, 15% 36" x 100)</t>
  </si>
  <si>
    <t>B-EC-CBX1540 (Puremax EC-CBX, 15% 40" x 100')</t>
  </si>
  <si>
    <t>B-EC-CBX1560 (Puremax EC-CBX, 15% 60" x 100')</t>
  </si>
  <si>
    <t>B-EC-CBX2024 (Puremax EC-CBX, 20% 24" x 100')</t>
  </si>
  <si>
    <t>B-EC-CBX2036 (Puremax EC-CBX, 20% 36" x 100')</t>
  </si>
  <si>
    <t>B-EC-CBX2040 (Puremax EC-CBX, 20% 40" x 100')</t>
  </si>
  <si>
    <t>B-EC-CBX2060 (Puremax EC-CBX, 20% 60" x 100')</t>
  </si>
  <si>
    <t>B-EC-CBX2524 (Puremax EC-CBX, 25% 24" x 100')</t>
  </si>
  <si>
    <t>B-EC-CBX2536 (Puremax EC-CBX, 25% 36" x 100')</t>
  </si>
  <si>
    <t>B-EC-CBX2540 (Puremax EC-CBX, 25% 40" x 100 ')</t>
  </si>
  <si>
    <t>B-EC-CBX2560 (Puremax EC-CBX, 25% 60" x 100')</t>
  </si>
  <si>
    <t>B-EC-CBX3536 (Puremax EC-CBX, 35% 36" x 100')</t>
  </si>
  <si>
    <t>B-EC-CBX3540 (Puremax EC-CBX, 35% 40" x 100')</t>
  </si>
  <si>
    <t>B-EC-CBX3560 (Puremax EC-CBX, 35% 60" x 100')</t>
  </si>
  <si>
    <t>B-EC-CBX4036 (Puremax EC-CBX, 40% 36" x 100')</t>
  </si>
  <si>
    <t>B-EC-CBX4040 (Puremax EC-CBX, 40% 40" x 100')</t>
  </si>
  <si>
    <t>B-EC-CBX4060 (Puremax EC-CBX, 40% 60" x 100')</t>
  </si>
  <si>
    <t>B-EC-CBX5036 (Puremax EC-CBX, 50% 36" x 100')</t>
  </si>
  <si>
    <t>B-EC-CBX5040 (Puremax EC-CBX, 50% 40" x 100')</t>
  </si>
  <si>
    <t>B-EC-CBX5060 (Puremax EC-CBX, 50% 60" x 100')</t>
  </si>
  <si>
    <t>B-EC-IRX0524 (Koolmax EC-IRX, 05% 24" x 100')</t>
  </si>
  <si>
    <t>B-EC-IRX0536 (Koolmax EC-IRX, 05% 36" x 100')</t>
  </si>
  <si>
    <t>B-EC-IRX0540 (Koolmax EC-IRX, 05% 40" x 100')</t>
  </si>
  <si>
    <t>B-EC-IRX0560 (Koolmax EC-IRX, 05% 60" x 100')</t>
  </si>
  <si>
    <t>B-EC-IRX1536 (Koolmax EC-IRX, 15% 36" x 100')</t>
  </si>
  <si>
    <t>B-EC-IRX1540 (Koolmax EC-IRX, 15% 40" x 100')</t>
  </si>
  <si>
    <t>B-EC-IRX1560 (Koolmax EC-IRX, 15% 60" x 100')</t>
  </si>
  <si>
    <t>B-EC-IRX2024 (Koolmax EC-IRX, 20% 24" x 100')</t>
  </si>
  <si>
    <t>B-EC-IRX2036 (Koolmax EC-IRX, 20% 36" x 100')</t>
  </si>
  <si>
    <t>B-EC-IRX2040 (Koolmax EC-IRX, 20% 40" x 100')</t>
  </si>
  <si>
    <t>B-EC-IRX2060 (Koolmax EC-IRX, 20% 60" x 100')</t>
  </si>
  <si>
    <t>B-EC-IRX3540 (Koolmax EC-IRX, 35% 40" x 100')</t>
  </si>
  <si>
    <t>B-EC-IRX3560 (Koolmax EC-IRX, 35% 60" x 100')</t>
  </si>
  <si>
    <t>B-EC-IRX4040 (Koolmax EC-IRX, 40% 40" x 100')</t>
  </si>
  <si>
    <t>B-EC-IRX4060 (Koolmax EC-IRX, 40% 60" x 100')</t>
  </si>
  <si>
    <t>B-EC-IRX5036 (Koolmax EC-IRX, 50% 36" x 100')</t>
  </si>
  <si>
    <t>B-EC-IRX5040 (Koolmax EC-IRX, 50% 40" x 100')</t>
  </si>
  <si>
    <t>B-EC-IRX5060 (Koolmax EC-IRX, 50% 60" x 100')</t>
  </si>
  <si>
    <t>B-EC-IRX7024 (Koolmax EC-IRX, 70% 24" x 100')</t>
  </si>
  <si>
    <t>B-EC-IRX7036 (Koolmax EC-IRX, 70% 36" x 100')</t>
  </si>
  <si>
    <t>B-EC-IRX7040 (Koolmax EC-IRX, 70% 40" x 100')</t>
  </si>
  <si>
    <t>B-EC-IRX7060 (Koolmax EC-IRX, 70% 60" x 100')</t>
  </si>
  <si>
    <t>B-IC-ALP0540 (i-Cool Ceramic ALPHA IR, 05% 40" x 100')</t>
  </si>
  <si>
    <t>B-IC-ALP0560 (i-Cool Ceramic ALPHA IR, 05% 60" x 100')</t>
  </si>
  <si>
    <t>B-IC-ALP1540 (i-Cool Ceramic ALPHA IR, 15% 40" x 100')</t>
  </si>
  <si>
    <t>B-IC-ALP1560 (i-Cool Ceramic ALPHA IR, 15% 60" x 100')</t>
  </si>
  <si>
    <t>B-IC-ALP2-0540 (i-Cool Ceramic ALPHA Ultra, 05% 40" x 100')</t>
  </si>
  <si>
    <t>B-IC-ALP2-0560 (i-Cool Ceramic ALPHA Ultra, 05% 60" x 100')</t>
  </si>
  <si>
    <t>B-IC-ALP2-1540 (i-Cool Ceramic ALPHA Ultra, 15% 40" x 100')</t>
  </si>
  <si>
    <t>B-IC-ALP2-1560 (i-Cool Ceramic ALPHA Ultra, 15% 60" x 100')</t>
  </si>
  <si>
    <t>B-IC-ALP2-2024 (i-Cool Ceramic ALPHA Ultra, 20% 24" x 100')</t>
  </si>
  <si>
    <t>B-IC-ALP2-2040 (i-Cool Ceramic ALPHA Ultra, 20% 40" x 100')</t>
  </si>
  <si>
    <t>B-IC-ALP2-2060 (i-Cool Ceramic ALPHA Ultra, 20% 60" x 100')</t>
  </si>
  <si>
    <t>B-IC-ALP2-3540 (i-Cool Ceramic ALPHA Ultra, 35% 40" x 100')</t>
  </si>
  <si>
    <t>B-IC-ALP2-3560 (i-Cool Ceramic ALPHA Ultra, 35% 60" x 100')</t>
  </si>
  <si>
    <t>B-IC-ALP2-4040 (i-Cool Ceramic ALPHA Ultra, 40% 40" X 100')</t>
  </si>
  <si>
    <t>B-IC-ALP2-4060 (i-Cool Ceramic ALPHA Ultra, 40% 60" X 100')</t>
  </si>
  <si>
    <t>B-IC-ALP2-5040 (i-Cool Ceramic ALPHA Ultra, 50% 40" x 100')</t>
  </si>
  <si>
    <t>B-IC-ALP2-5060 (i-Cool Ceramic ALPHA Ultra, 50% 60" x 100')</t>
  </si>
  <si>
    <t>B-IC-ALP2-7040 (i-Cool Ceramic ALPHA Ultra, 70% 40" X 100')</t>
  </si>
  <si>
    <t>B-IC-ALP2-7060 (i-Cool Ceramic ALPHA Ultra, 70% 60" X 100')</t>
  </si>
  <si>
    <t>B-IC-ALP2040 (i-Cool Ceramic ALPHA IR, 20% 40" x 100')</t>
  </si>
  <si>
    <t>B-IC-ALP2060 (i-Cool Ceramic ALPHA IR, 20% 60" x 100')</t>
  </si>
  <si>
    <t>B-IC-ALP3540 (i-Cool Ceramic ALPHA IR, 35% 40" x 100')</t>
  </si>
  <si>
    <t>B-IC-ALP3560 (i-Cool Ceramic ALPHA IR, 35% 60" x 100')</t>
  </si>
  <si>
    <t>B-IC-ALP5040 (i-Cool Ceramic ALPHA IR, 50% 40" x 100')</t>
  </si>
  <si>
    <t>B-IC-ALP5060 (i-Cool Ceramic ALPHA IR, 50% 60" x 100')</t>
  </si>
  <si>
    <t>B-IC-ALP7040 (i-Cool Ceramic ALPHA IR, 70% 40" x 100')</t>
  </si>
  <si>
    <t>B-IC-ALP7060 (i-Cool Ceramic ALPHA IR, 70% 60" x 100')</t>
  </si>
  <si>
    <t>B-IC-CB0236 (i-Cool Carbon, 02% 36" x 100')</t>
  </si>
  <si>
    <t>B-IC-CB0240 (i-Cool Carbon, 02% 40" x 100')</t>
  </si>
  <si>
    <t>B-IC-CB0260 (i-Cool Carbon, 02% 60" x 100')</t>
  </si>
  <si>
    <t>B-IC-CB0512 (i-Cool Carbon, 05% 12" x 100')</t>
  </si>
  <si>
    <t>B-IC-CB0524 (i-Cool Carbon, 05% 24" x 100')</t>
  </si>
  <si>
    <t>B-IC-CB0536 (i-Cool Carbon, 05% 36" x 100')</t>
  </si>
  <si>
    <t>B-IC-CB0540 (i-Cool Carbon, 05% 40" x 100')</t>
  </si>
  <si>
    <t>B-IC-CB0560 (i-Cool Carbon, 05% 60" x 100')</t>
  </si>
  <si>
    <t>B-IC-CB1524 (i-Cool Carbon, 15% 24" x 100')</t>
  </si>
  <si>
    <t>B-IC-CB1536 (i-Cool Carbon, 15% 36" x 100')</t>
  </si>
  <si>
    <t>B-IC-CB1540 (i-Cool Carbon, 15% 40" x 100')</t>
  </si>
  <si>
    <t>B-IC-CB1560 (i-Cool Carbon, 15% 60" x 100')</t>
  </si>
  <si>
    <t>B-IC-CB2024 (i-Cool Carbon, 20% 24" x 100')</t>
  </si>
  <si>
    <t>B-IC-CB2036 (i-Cool Carbon, 20% 36" x 100')</t>
  </si>
  <si>
    <t>B-IC-CB2040 (i-Cool Carbon, 20% 40" x 100')</t>
  </si>
  <si>
    <t>B-IC-CB2060 (i-Cool Carbon, 20% 60" x 100')</t>
  </si>
  <si>
    <t>B-IC-CB3040 (i-Cool Carbon, 30% 40" x 100')</t>
  </si>
  <si>
    <t>B-IC-CB3060 (i-Cool Carbon, 30% 60" x 100')</t>
  </si>
  <si>
    <t>B-IC-CB3536 (i-Cool Carbon, 35% 36" x 100')</t>
  </si>
  <si>
    <t>B-IC-CB3540 (i-Cool Carbon, 35% 40" x 100')</t>
  </si>
  <si>
    <t>B-IC-CB3560 (i-Cool Carbon, 35% 60" x 100')</t>
  </si>
  <si>
    <t>B-IC-CB4040 (i-Cool Carbon, 40% 40" x 100')</t>
  </si>
  <si>
    <t>B-IC-CB4060 (i-Cool Carbon, 40% 60" x 100')</t>
  </si>
  <si>
    <t>B-IC-CB5036 (i-Cool Carbon, 50% 36" x 100')</t>
  </si>
  <si>
    <t>B-IC-CB5040 (i-Cool Carbon, 50% 40" X 100')</t>
  </si>
  <si>
    <t>B-IC-CB5060 (i-Cool Carbon, 50% 60" x 100')</t>
  </si>
  <si>
    <t>B-IC-IRP0240 (i-Cool Ceramic PREMIUM IR, 02% 40" x 100')</t>
  </si>
  <si>
    <t>B-IC-IRP0260 (i-Cool Ceramic PREMIUM IR, 02% 60" x 100')</t>
  </si>
  <si>
    <t>B-IC-IRP0524 (i-Cool Ceramic PREMIUM IR, 05% 24" x 100')</t>
  </si>
  <si>
    <t>B-IC-IRP0540 (i-Cool Ceramic PREMIUM IR, 05% 40" x 100')</t>
  </si>
  <si>
    <t>B-IC-IRP0560 (i-Cool Ceramic PREMIUM IR, 05% 60" x 100')</t>
  </si>
  <si>
    <t>B-IC-IRP1524 (i-Cool Ceramic PREMIUM IR, 15% 24" x 100')</t>
  </si>
  <si>
    <t>B-IC-IRP1540 (i-Cool Ceramic PREMIUM IR, 15% 40" x 100')</t>
  </si>
  <si>
    <t>B-IC-IRP1560 (i-Cool Ceramic PREMIUM IR, 15% 60" x 100')</t>
  </si>
  <si>
    <t>B-IC-IRP2024 (i-Cool Ceramic PREMIUM IR, 20% 24" x 100')</t>
  </si>
  <si>
    <t>B-IC-IRP2036 (i-Cool Ceramic PREMIUM IR, 20% 36" x 100')</t>
  </si>
  <si>
    <t>B-IC-IRP2040 (i-Cool Ceramic PREMIUM IR, 20% 40" x 100')</t>
  </si>
  <si>
    <t>B-IC-IRP2060 (i-Cool Ceramic PREMIUM IR, 20% 60" x 100')</t>
  </si>
  <si>
    <t>B-IC-IRP3524 (i-Cool Ceramic PREMIUM IR, 35% 24" x 100')</t>
  </si>
  <si>
    <t>B-IC-IRP3540 (i-Cool Ceramic PREMIUM IR, 35% 40" x 100')</t>
  </si>
  <si>
    <t>B-IC-IRP3560 (i-Cool Ceramic PREMIUM IR, 35% 60" x 100')</t>
  </si>
  <si>
    <t>B-IC-IRP4040 (i-Cool Ceramic PREMIUM IR, 40% 40" x 100')</t>
  </si>
  <si>
    <t>B-IC-IRP4060 (i-Cool Ceramic PREMIUM IR, 40% 60" x 100')</t>
  </si>
  <si>
    <t>B-IC-IRP5040 (i-Cool Ceramic PREMIUM IR, 50% 40" x 100')</t>
  </si>
  <si>
    <t>B-IC-IRP5060 (i-Cool Ceramic PREMIUM IR, 50% 60" x 100')</t>
  </si>
  <si>
    <t>B-IC-IRP7040 (i-Cool Ceramic PREMIUM IR, 70% 40" x 100')</t>
  </si>
  <si>
    <t>B-IC-IRP7060 (i-Cool Ceramic PREMIUM IR, 70% 60" x 100')</t>
  </si>
  <si>
    <t>B-IC-SUP7040 (i-Cool Ceramic SUPREME IR, 70% 40"x100')</t>
  </si>
  <si>
    <t>B-IC-SUP7060 (i-Cool Ceramic SUPREME IR, 70% 60"x100')</t>
  </si>
  <si>
    <t>B-PPF-PG6050 (PPF, Premium Guard Clear 60"x50')</t>
  </si>
  <si>
    <t>B-PPF-PGB6050 (PPF, Premium Guard Black 60"x50')</t>
  </si>
  <si>
    <t>B-PPF-PGMB6050 (PPF, Premium Guard Matte Black 60"x50')</t>
  </si>
  <si>
    <t>B-PPF-PGMC6050 (PPF, Premium Guard Matte Clear 60"x50')</t>
  </si>
  <si>
    <t>B-SS-BO2BK60 (Black Out,  2 mil Black 60"x100')</t>
  </si>
  <si>
    <t>B-SS-DR0560 (Dual Reflective, 05% 60"x100')</t>
  </si>
  <si>
    <t>B-SS-DR0572 (Dual Reflective, 05% 72"x100')</t>
  </si>
  <si>
    <t>B-SS-DR1560 (Dual Reflective, 15% 60"x100')</t>
  </si>
  <si>
    <t>B-SS-DR1572 (Dual Reflective, 15% 72"x100')</t>
  </si>
  <si>
    <t>B-SS-DR2560 (Dual Reflective, 25% 60"x100')</t>
  </si>
  <si>
    <t>B-SS-DR2572 (Dual Reflective, 25% 72"x100')</t>
  </si>
  <si>
    <t>B-SS-DR3560 (Dual Reflective, 35% 60"x100')</t>
  </si>
  <si>
    <t>B-SS-DR3572 (Dual Reflective, 35% 72" x 100')</t>
  </si>
  <si>
    <t>B-SS-IR7060DA (I-Cool Ceramic DA, 70% 60" x 100')</t>
  </si>
  <si>
    <t>B-SS-IR7072DA (i-Cool Ceramic DA, 70% 72" x 100')</t>
  </si>
  <si>
    <t>B-SS-SVPS1560 (Silver PSA, 15% 60"x100')</t>
  </si>
  <si>
    <t>B-EC-IRX4036 (Koolmax EC-IRX, 40% 36" x 100)</t>
  </si>
  <si>
    <t>B-EC-IRX3536 (Koolmax EC-IRX, 35% 36" x 100')</t>
  </si>
  <si>
    <t>Type (Code)</t>
  </si>
  <si>
    <t>Description</t>
  </si>
  <si>
    <t>Megamax, Ultimate Ceramic 5</t>
  </si>
  <si>
    <t>EC-ALPX0540</t>
  </si>
  <si>
    <t>EC-ALPX1540</t>
  </si>
  <si>
    <t>EC-ALPX2040</t>
  </si>
  <si>
    <t>EC-ALPX3540</t>
  </si>
  <si>
    <t>EC-ALPX5040</t>
  </si>
  <si>
    <t>EC-ALPX7040</t>
  </si>
  <si>
    <t>EC-CBX0540</t>
  </si>
  <si>
    <t>EC-CBX0560</t>
  </si>
  <si>
    <t>EC-CBX1536</t>
  </si>
  <si>
    <t>EC-CBX1540</t>
  </si>
  <si>
    <t>EC-CBX1560</t>
  </si>
  <si>
    <t>EC-CBX2036</t>
  </si>
  <si>
    <t>EC-CBX2040</t>
  </si>
  <si>
    <t>EC-CBX2060</t>
  </si>
  <si>
    <t>EC-CBX2536</t>
  </si>
  <si>
    <t>EC-CBX2540</t>
  </si>
  <si>
    <t>EC-CBX2560</t>
  </si>
  <si>
    <t>EC-CBX3536</t>
  </si>
  <si>
    <t>EC-CBX3540</t>
  </si>
  <si>
    <t>EC-CBX3560</t>
  </si>
  <si>
    <t>EC-CBX4036</t>
  </si>
  <si>
    <t>EC-CBX4040</t>
  </si>
  <si>
    <t>EC-CBX4060</t>
  </si>
  <si>
    <t>EC-CBX5036</t>
  </si>
  <si>
    <t>EC-CBX5040</t>
  </si>
  <si>
    <t>EC-CBX5060</t>
  </si>
  <si>
    <t>EC-IRX0536</t>
  </si>
  <si>
    <t>EC-IRX0540</t>
  </si>
  <si>
    <t>EC-IRX0560</t>
  </si>
  <si>
    <t>EC-IRX1536</t>
  </si>
  <si>
    <t>EC-IRX1540</t>
  </si>
  <si>
    <t>EC-IRX1560</t>
  </si>
  <si>
    <t>EC-IRX2036</t>
  </si>
  <si>
    <t>EC-IRX2040</t>
  </si>
  <si>
    <t>EC-IRX2060</t>
  </si>
  <si>
    <t>EC-IRX3536</t>
  </si>
  <si>
    <t>VLT</t>
  </si>
  <si>
    <t>Width</t>
  </si>
  <si>
    <t>Unit Price</t>
  </si>
  <si>
    <t>Megamax, Ultimate Ceramic 15</t>
  </si>
  <si>
    <t>Megamax, Ultimate Ceramic 20</t>
  </si>
  <si>
    <t>Megamax, Ultimate Ceramic 35</t>
  </si>
  <si>
    <t>Megamax, Ultimate Ceramic 50</t>
  </si>
  <si>
    <t>Megamax, Ultimate Ceramic 70</t>
  </si>
  <si>
    <t>EC-IRX3540</t>
  </si>
  <si>
    <t>EC-IRX3560</t>
  </si>
  <si>
    <t>EC-IRX4036</t>
  </si>
  <si>
    <t>EC-IRX4040</t>
  </si>
  <si>
    <t>EC-IRX4060</t>
  </si>
  <si>
    <t>EC-IRX5036</t>
  </si>
  <si>
    <t>EC-IRX5040</t>
  </si>
  <si>
    <t>EC-IRX5060</t>
  </si>
  <si>
    <t>Koolmax, Supreme Ceramic 5</t>
  </si>
  <si>
    <t>Koolmax, Supreme Ceramic 15</t>
  </si>
  <si>
    <t>Koolmax, Supreme Ceramic 20</t>
  </si>
  <si>
    <t>Koolmax, Supreme Ceramic 35</t>
  </si>
  <si>
    <t>Koolmax, Supreme Ceramic 40</t>
  </si>
  <si>
    <t>Koolmax, Supreme Ceramic 50</t>
  </si>
  <si>
    <t>Koolmax, Supreme Ceramic 70</t>
  </si>
  <si>
    <t>EC-IRX7036</t>
  </si>
  <si>
    <t>EC-IRX7040</t>
  </si>
  <si>
    <t>IC-ALP0540</t>
  </si>
  <si>
    <t>IC-ALP0560</t>
  </si>
  <si>
    <t>Puremax, Supreme Carbon 5</t>
  </si>
  <si>
    <t>Puremax, Supreme Carbon 15</t>
  </si>
  <si>
    <t>Puremax, Supreme Carbon 20</t>
  </si>
  <si>
    <t>Puremax, Supreme Carbon 35</t>
  </si>
  <si>
    <t>Puremax, Supreme Carbon 40</t>
  </si>
  <si>
    <t>Puremax, Supreme Carbon 50</t>
  </si>
  <si>
    <t>Puremax, Supreme Carbon 25</t>
  </si>
  <si>
    <t>Proforma Invoice</t>
  </si>
  <si>
    <t>Purchase Order</t>
  </si>
  <si>
    <t>Techpia (Code)</t>
  </si>
  <si>
    <t>MEGAMAX 5</t>
  </si>
  <si>
    <t>MEGAMAX 15</t>
  </si>
  <si>
    <t>MEGAMAX 20</t>
  </si>
  <si>
    <t>MEGAMAX 35</t>
  </si>
  <si>
    <t>KOOLMAX 5</t>
  </si>
  <si>
    <t>KOOLMAX 15</t>
  </si>
  <si>
    <t>KOOLMAX 20</t>
  </si>
  <si>
    <t>KOOLMAX 35</t>
  </si>
  <si>
    <t>KOOLMAX 40</t>
  </si>
  <si>
    <t>KOOLMAX 50</t>
  </si>
  <si>
    <t>PUREMAX 5</t>
  </si>
  <si>
    <t>PUREMAX 15</t>
  </si>
  <si>
    <t>PUREMAX 20</t>
  </si>
  <si>
    <t>PUREMAX 25</t>
  </si>
  <si>
    <t>PUREMAX 35</t>
  </si>
  <si>
    <t>PUREMAX 40</t>
  </si>
  <si>
    <t>PUREMAX 50</t>
  </si>
  <si>
    <t>Megamax, Ultimate Ceramic 20% 40"X100'</t>
  </si>
  <si>
    <t>Megamax, Ultimate Ceramic 50% 40"X100'</t>
  </si>
  <si>
    <t>Megamax, Ultimate Ceramic 70% 40"X100'</t>
  </si>
  <si>
    <t>Puremax, Supreme Carbon 20% 40"X100'</t>
  </si>
  <si>
    <t>Puremax, Supreme Carbon 40% 40"X100'</t>
  </si>
  <si>
    <t>Puremax, Supreme Carbon 50% 40"X100'</t>
  </si>
  <si>
    <t>Koolmax, Supreme Ceramic 20% 40"X100'</t>
  </si>
  <si>
    <t>Koolmax, Supreme Ceramic 40% 40"X100'</t>
  </si>
  <si>
    <t>Koolmax, Supreme Ceramic 50% 40"X100'</t>
  </si>
  <si>
    <t>Koolmax, Supreme Ceramic 70% 40"X100'</t>
  </si>
  <si>
    <t>Megamax, Ultimate Ceramic 5% 40"X100'</t>
  </si>
  <si>
    <t>Megamax, Ultimate Ceramic 15% 40"X100'</t>
  </si>
  <si>
    <t>Megamax, Ultimate Ceramic 35% 40"X100'</t>
  </si>
  <si>
    <t>Puremax, Supreme Carbon 5% 40"X100'</t>
  </si>
  <si>
    <t>Puremax, Supreme Carbon 15% 40"X100'</t>
  </si>
  <si>
    <t>Puremax, Supreme Carbon 25% 40"X100'</t>
  </si>
  <si>
    <t>Puremax, Supreme Carbon 35% 40"X100'</t>
  </si>
  <si>
    <t>Koolmax, Supreme Ceramic 5% 40"X100'</t>
  </si>
  <si>
    <t>Koolmax, Supreme Ceramic 15% 40"X100'</t>
  </si>
  <si>
    <t>Koolmax, Supreme Ceramic 35% 40"X100'</t>
  </si>
  <si>
    <t>Puremax, Supreme Carbon 50% 36"X100'</t>
  </si>
  <si>
    <t>Puremax, Supreme Carbon 50% 60"X100'</t>
  </si>
  <si>
    <t>Koolmax, Supreme Ceramic 50% 36"X100'</t>
  </si>
  <si>
    <t>Koolmax, Supreme Ceramic 50% 60"X100'</t>
  </si>
  <si>
    <t>Koolmax, Supreme Ceramic 70% 36"X100'</t>
  </si>
  <si>
    <t>Puremax, Supreme Carbon 5% 36"X100'</t>
  </si>
  <si>
    <t>Puremax, Supreme Carbon 15% 36"X100'</t>
  </si>
  <si>
    <t>Puremax, Supreme Carbon 20% 36"X100'</t>
  </si>
  <si>
    <t>Puremax, Supreme Carbon 25% 36"X100'</t>
  </si>
  <si>
    <t>Puremax, Supreme Carbon 35% 36"X100'</t>
  </si>
  <si>
    <t>Puremax, Supreme Carbon 40% 36"X100'</t>
  </si>
  <si>
    <t>Koolmax, Supreme Ceramic 5% 36"X100'</t>
  </si>
  <si>
    <t>Koolmax, Supreme Ceramic 15% 36"X100'</t>
  </si>
  <si>
    <t>Koolmax, Supreme Ceramic 20% 36"X100'</t>
  </si>
  <si>
    <t>Koolmax, Supreme Ceramic 35% 36"X100'</t>
  </si>
  <si>
    <t>Koolmax, Supreme Ceramic 40% 36"X100'</t>
  </si>
  <si>
    <t>MEGAMAX 50(LAH)</t>
  </si>
  <si>
    <t>MEGAMAX 70(LAH)</t>
  </si>
  <si>
    <t>KOOLMAX 70(LAH)</t>
  </si>
  <si>
    <t>Puremax, Supreme Carbon 15% 60"X100'</t>
  </si>
  <si>
    <t>Puremax, Supreme Carbon 20% 60"X100'</t>
  </si>
  <si>
    <t>Puremax, Supreme Carbon 25% 60"X100'</t>
  </si>
  <si>
    <t>Puremax, Supreme Carbon 35% 60"X100'</t>
  </si>
  <si>
    <t>Puremax, Supreme Carbon 40% 60"X100'</t>
  </si>
  <si>
    <t>Koolmax, Supreme Ceramic 5% 60"X100'</t>
  </si>
  <si>
    <t>Koolmax, Supreme Ceramic 15% 60"X100'</t>
  </si>
  <si>
    <t>Koolmax, Supreme Ceramic 20% 60"X100'</t>
  </si>
  <si>
    <t>Koolmax, Supreme Ceramic 35% 60"X100'</t>
  </si>
  <si>
    <t>Koolmax, Supreme Ceramic 40% 60"X100'</t>
  </si>
  <si>
    <t>Puremax, Supreme Carbon 5% 60"X100'</t>
  </si>
  <si>
    <t>QB Description</t>
  </si>
  <si>
    <t>ALPHA 5</t>
  </si>
  <si>
    <t>ALPHA 15</t>
  </si>
  <si>
    <t>ALPHA 20</t>
  </si>
  <si>
    <t>ALPHA 35</t>
  </si>
  <si>
    <t>ALPHA 40</t>
  </si>
  <si>
    <t>ALPHA 50(LAH)</t>
  </si>
  <si>
    <t>ALPHA 70(LAH)</t>
  </si>
  <si>
    <t>IC-ALP1540</t>
  </si>
  <si>
    <t>IC-ALP1560</t>
  </si>
  <si>
    <t>IC-ALP2040</t>
  </si>
  <si>
    <t>IC-ALP2060</t>
  </si>
  <si>
    <t>IC-ALP3540</t>
  </si>
  <si>
    <t>IC-ALP3560</t>
  </si>
  <si>
    <t>IC-ALP5040LAH</t>
  </si>
  <si>
    <t>IC-ALP5060LAH</t>
  </si>
  <si>
    <t>IC-ALP7040LAH</t>
  </si>
  <si>
    <t>IC-ALP7060LAH</t>
  </si>
  <si>
    <t>IC-ALPU0540</t>
  </si>
  <si>
    <t>IC-ALPU0560</t>
  </si>
  <si>
    <t>IC-ALPU1540</t>
  </si>
  <si>
    <t>IC-ALPU1560</t>
  </si>
  <si>
    <t>IC-ALPU2024</t>
  </si>
  <si>
    <t>IC-ALPU2040</t>
  </si>
  <si>
    <t>IC-ALPU2060</t>
  </si>
  <si>
    <t>IC-ALPU3540</t>
  </si>
  <si>
    <t>IC-ALPU3560</t>
  </si>
  <si>
    <t>IC-ALPU4040</t>
  </si>
  <si>
    <t>IC-ALPU4060</t>
  </si>
  <si>
    <t>IC-ALPU5040LAH</t>
  </si>
  <si>
    <t>IC-ALPU5060LAH</t>
  </si>
  <si>
    <t>IC-ALPU7040LAH</t>
  </si>
  <si>
    <t>IC-ALPU7060LAH</t>
  </si>
  <si>
    <r>
      <t xml:space="preserve">(APEX ULTRA, 05% 40"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</si>
  <si>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15% 40"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</si>
  <si>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20% 40"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</si>
  <si>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20% 24"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</si>
  <si>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20% 60"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</si>
  <si>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35% 40"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</si>
  <si>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35% 60"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</si>
  <si>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40% 40"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</si>
  <si>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40% 60"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</si>
  <si>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50% 40"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</si>
  <si>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50% 60"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</si>
  <si>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70% 40"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</si>
  <si>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70% 60"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</si>
  <si>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15% 60" X100') </t>
    </r>
    <r>
      <rPr>
        <sz val="11"/>
        <color rgb="FFFF0000"/>
        <rFont val="Calibri"/>
        <family val="2"/>
        <scheme val="minor"/>
      </rPr>
      <t>GEOSHIELD</t>
    </r>
  </si>
  <si>
    <r>
      <t xml:space="preserve">(APEX ULTRA, 05% 60" X100') </t>
    </r>
    <r>
      <rPr>
        <sz val="11"/>
        <color rgb="FFFF0000"/>
        <rFont val="Calibri"/>
        <family val="2"/>
        <scheme val="minor"/>
      </rPr>
      <t>GEOSHIELD</t>
    </r>
  </si>
  <si>
    <t>T-PC 02</t>
  </si>
  <si>
    <t>T-PC 05</t>
  </si>
  <si>
    <t>T-PC 15</t>
  </si>
  <si>
    <t>T-PC 20</t>
  </si>
  <si>
    <t>T-PC 30</t>
  </si>
  <si>
    <t>T-PC 35</t>
  </si>
  <si>
    <t>T-PC 40</t>
  </si>
  <si>
    <t>T-PC 50</t>
  </si>
  <si>
    <t>(C2 Carbon, 02% 36" x 100') GEOSHIELD</t>
  </si>
  <si>
    <t>(C2 Carbon, 02% 40" x 100') GEOSHIELD</t>
  </si>
  <si>
    <t>(C2 Carbon, 02% 60" x 100') GEOSHIELD</t>
  </si>
  <si>
    <t>(C2 Carbon, 05% 12" x 100') GEOSHIELD</t>
  </si>
  <si>
    <t>(C2 Carbon, 05% 24" x 100') GEOSHIELD</t>
  </si>
  <si>
    <t>(C2 Carbon, 05% 36" x 100') GEOSHIELD</t>
  </si>
  <si>
    <t>(C2 Carbon, 05% 40" x 100') GEOSHIELD</t>
  </si>
  <si>
    <t>(C2 Carbon, 05% 60" x 100') GEOSHIELD</t>
  </si>
  <si>
    <t>(C2 Carbon, 15% 24" x 100') GEOSHIELD</t>
  </si>
  <si>
    <t>(C2 Carbon, 15% 36" x 100') GEOSHIELD</t>
  </si>
  <si>
    <t>(C2 Carbon, 15% 40" x 100') GEOSHIELD</t>
  </si>
  <si>
    <t>(C2 Carbon, 15% 60" x 100') GEOSHIELD</t>
  </si>
  <si>
    <t>(C2 Carbon, 20% 24" x 100') GEOSHIELD</t>
  </si>
  <si>
    <t>(C2 Carbon, 20% 36" x 100') GEOSHIELD</t>
  </si>
  <si>
    <t>(C2 Carbon, 20% 40" x 100') GEOSHIELD</t>
  </si>
  <si>
    <t>(C2 Carbon, 20% 60" x 100') GEOSHIELD</t>
  </si>
  <si>
    <t>(C2 Carbon, 30% 40" x 100') GEOSHIELD</t>
  </si>
  <si>
    <t>(C2 Carbon, 30% 60" x 100') GEOSHIELD</t>
  </si>
  <si>
    <t>(C2 Carbon, 35% 36" x 100') GEOSHIELD</t>
  </si>
  <si>
    <t>(C2 Carbon, 35% 40" x 100') GEOSHIELD</t>
  </si>
  <si>
    <t>(C2 Carbon, 35% 60" x 100') GEOSHIELD</t>
  </si>
  <si>
    <t>(C2 Carbon, 40% 40" x 100') GEOSHIELD</t>
  </si>
  <si>
    <t>(C2 Carbon, 40% 60" x 100') GEOSHIELD</t>
  </si>
  <si>
    <t>(C2 Carbon, 50% 36" x 100') GEOSHIELD</t>
  </si>
  <si>
    <t>(C2 Carbon, 50% 40" X 100') GEOSHIELD</t>
  </si>
  <si>
    <t>(C2 Carbon, 50% 60" x 100') GEOSHIELD</t>
  </si>
  <si>
    <t>IC-CB0236</t>
  </si>
  <si>
    <t>IC-CB0240</t>
  </si>
  <si>
    <t>IC-CB0260</t>
  </si>
  <si>
    <t>IC-CB0524</t>
  </si>
  <si>
    <t>IC-CB0512</t>
  </si>
  <si>
    <t>IC-CB0536</t>
  </si>
  <si>
    <t>IC-CB0540</t>
  </si>
  <si>
    <t>IC-CB0560</t>
  </si>
  <si>
    <t>IC-CB1540</t>
  </si>
  <si>
    <t>IC-CB1560</t>
  </si>
  <si>
    <t>IC-CB2040</t>
  </si>
  <si>
    <t>IC-CB2060</t>
  </si>
  <si>
    <t>IC-CB3040</t>
  </si>
  <si>
    <t>IC-CB3060</t>
  </si>
  <si>
    <t>IC-CB3540</t>
  </si>
  <si>
    <t>IC-CB3560</t>
  </si>
  <si>
    <t>IC-CB4040</t>
  </si>
  <si>
    <t>IC-CB4060</t>
  </si>
  <si>
    <t>IC-CB5040</t>
  </si>
  <si>
    <t>IC-CB5060</t>
  </si>
  <si>
    <t>IC-CB1524</t>
  </si>
  <si>
    <t>IC-CB1536</t>
  </si>
  <si>
    <t>IC-CB2024</t>
  </si>
  <si>
    <t>IC-CB2036</t>
  </si>
  <si>
    <t>IC-CB3536</t>
  </si>
  <si>
    <t>IC-CB5036</t>
  </si>
  <si>
    <t>60 (36/24)</t>
  </si>
  <si>
    <t>60 (40/20)</t>
  </si>
  <si>
    <t>60 (36/12/12)</t>
  </si>
  <si>
    <t>60 (24/24/12)</t>
  </si>
  <si>
    <t>60 (5*12)</t>
  </si>
  <si>
    <t>IC-IRP0240</t>
  </si>
  <si>
    <t>IC-IRP0260</t>
  </si>
  <si>
    <t>IC-IRP0524</t>
  </si>
  <si>
    <t>IC-IRP0540</t>
  </si>
  <si>
    <t>IC-IRP0560</t>
  </si>
  <si>
    <t>IC-IRP1524</t>
  </si>
  <si>
    <t>IC-IRP1540</t>
  </si>
  <si>
    <t>IC-IRP1560</t>
  </si>
  <si>
    <t>IC-IRP2024</t>
  </si>
  <si>
    <t>IC-IRP2036</t>
  </si>
  <si>
    <t>IC-IRP2040</t>
  </si>
  <si>
    <t>IC-IRP2060</t>
  </si>
  <si>
    <t>IC-IRP3524</t>
  </si>
  <si>
    <t>IC-IRP3540</t>
  </si>
  <si>
    <t>IC-IRP3560</t>
  </si>
  <si>
    <t>IC-IRP4040</t>
  </si>
  <si>
    <t>IC-IRP4060</t>
  </si>
  <si>
    <t>IC-IRP5040(LAH)</t>
  </si>
  <si>
    <t>IC-IRP5060(LAH)</t>
  </si>
  <si>
    <t>IC-IRP7040(LAH)</t>
  </si>
  <si>
    <t>IC-IRP7060(LAH)</t>
  </si>
  <si>
    <t>(C2 Ceramic, 02% 40" x 100') GEOSHIELD</t>
  </si>
  <si>
    <t>(C2 Ceramic, 02% 60" x 100') GEOSHIELD</t>
  </si>
  <si>
    <t>(C2 Ceramic, 05% 24" x 100') GEOSHIELD</t>
  </si>
  <si>
    <t>(C2 Ceramic, 05% 40" x 100') GEOSHIELD</t>
  </si>
  <si>
    <t>(C2 Ceramic, 05% 60" x 100') GEOSHIELD</t>
  </si>
  <si>
    <t>(C2 Ceramic, 15% 24" x 100') GEOSHIELD</t>
  </si>
  <si>
    <t>(C2 Ceramic, 15% 40" x 100') GEOSHIELD</t>
  </si>
  <si>
    <t>(C2 Ceramic, 15% 60" x 100') GEOSHIELD</t>
  </si>
  <si>
    <t>(C2 Ceramic, 20% 24" x 100') GEOSHIELD</t>
  </si>
  <si>
    <t>(C2 Ceramic, 20% 36" x 100') GEOSHIELD</t>
  </si>
  <si>
    <t>(C2 Ceramic, 20% 40" x 100') GEOSHIELD</t>
  </si>
  <si>
    <t>(C2 Ceramic, 20% 60" x 100') GEOSHIELD</t>
  </si>
  <si>
    <t>(C2 Ceramic, 35% 24" x 100') GEOSHIELD</t>
  </si>
  <si>
    <t>(C2 Ceramic, 35% 40" x 100') GEOSHIELD</t>
  </si>
  <si>
    <t>(C2 Ceramic, 35% 60" x 100') GEOSHIELD</t>
  </si>
  <si>
    <t>(C2 Ceramic, 40% 40" x 100') GEOSHIELD</t>
  </si>
  <si>
    <t>(C2 Ceramic, 40% 60" x 100') GEOSHIELD</t>
  </si>
  <si>
    <t>(C2 Ceramic, 50% 40" X 100') GEOSHIELD</t>
  </si>
  <si>
    <t>(C2 Ceramic, 50% 60" x 100') GEOSHIELD</t>
  </si>
  <si>
    <t>T-PC 02 IR</t>
  </si>
  <si>
    <t>T-PC 2070 IR</t>
  </si>
  <si>
    <t>T-PC 4070 IR</t>
  </si>
  <si>
    <t>T-PC 3570 IR</t>
  </si>
  <si>
    <t>T-PC 5070 IR(LAH)</t>
  </si>
  <si>
    <t>T-PC 7070 IR(LAH)</t>
  </si>
  <si>
    <t>T-PC 0570 IR</t>
  </si>
  <si>
    <t>T-PC 1570 IR</t>
  </si>
  <si>
    <t>(C2 Ceramic, 75% 40" X 100') GEOSHIELD</t>
  </si>
  <si>
    <t>(C2 Ceramic, 75% 60" x 100') GEOSHIELD</t>
  </si>
  <si>
    <t>PPF-GC60</t>
  </si>
  <si>
    <t>PPF-MC60</t>
  </si>
  <si>
    <t>PPF-MB60</t>
  </si>
  <si>
    <t>PPF-GB60</t>
  </si>
  <si>
    <t>Ceramic Shield PPF - Gloss Clear GEOSHIELD</t>
  </si>
  <si>
    <t>Ceramic Shield PPF - Gloss Black GEOSHIELD</t>
  </si>
  <si>
    <t>Ceramic Shield PPF - Matte Clear GEOSHIELD</t>
  </si>
  <si>
    <t>Ceramic Shield PPF - Matte Black GEOSHIELD</t>
  </si>
  <si>
    <t>IC-IRP5040LAH</t>
  </si>
  <si>
    <t>IC-IRP5060LAH</t>
  </si>
  <si>
    <t>IC-IRP7040LAH</t>
  </si>
  <si>
    <t>IC-IRP7060LAH</t>
  </si>
  <si>
    <t>EC-CBX0536</t>
  </si>
  <si>
    <t>EC-CBX0524</t>
  </si>
  <si>
    <t>Puremax, Supreme Carbon 5% 24"X100'</t>
  </si>
  <si>
    <t>Price with Tariff</t>
  </si>
  <si>
    <t>B-EC-CBX0560 (Puremax EC-CBX, 05% 60" x 50')</t>
  </si>
  <si>
    <t>Puremax, Supreme Carbon 5% 60"X50'</t>
  </si>
  <si>
    <t>60 (24/12/12/12)</t>
  </si>
  <si>
    <t>B-EC-CBX1524 (Puremax EC-CBX, 15% 24" x 100)</t>
  </si>
  <si>
    <t>EC-CBX1524</t>
  </si>
  <si>
    <t>Puremax, Supreme Carbon 15% 24"X100'</t>
  </si>
  <si>
    <t>EC-CBX2024</t>
  </si>
  <si>
    <t>Puremax, Supreme Carbon 20% 24"X100'</t>
  </si>
  <si>
    <t>B-EC-CBX1560 (Puremax EC-CBX, 15% 60" x 50')</t>
  </si>
  <si>
    <t>Puremax, Supreme Carbon 15% 60"X50'</t>
  </si>
  <si>
    <t>B-EC-CBX2060 (Puremax EC-CBX, 20% 60" x 50')</t>
  </si>
  <si>
    <t>Puremax, Supreme Carbon 20% 60"X50'</t>
  </si>
  <si>
    <t>EC-CBX2524</t>
  </si>
  <si>
    <t>Puremax, Supreme Carbon 25% 24"X100'</t>
  </si>
  <si>
    <t>B-EC-CBX2560 (Puremax EC-CBX, 25% 60" x 50')</t>
  </si>
  <si>
    <t>Puremax, Supreme Carbon 25% 60"X50'</t>
  </si>
  <si>
    <t>B-EC-CBX3524 (Puremax EC-CBX, 35% 24" x 100')</t>
  </si>
  <si>
    <t>EC-CBX3524</t>
  </si>
  <si>
    <t>Puremax, Supreme Carbon 35% 24"X100'</t>
  </si>
  <si>
    <t>B-EC-CBX3560 (Puremax EC-CBX, 35% 60" x 50')</t>
  </si>
  <si>
    <t>Puremax, Supreme Carbon 35% 60"X50'</t>
  </si>
  <si>
    <t>B-EC-CBX4024 (Puremax EC-CBX, 40% 24" x 100')</t>
  </si>
  <si>
    <t>EC-CBX4024</t>
  </si>
  <si>
    <t>Puremax, Supreme Carbon 40% 24"X100'</t>
  </si>
  <si>
    <t>B-EC-CBX4060 (Puremax EC-CBX, 40% 60" x 50')</t>
  </si>
  <si>
    <t>Puremax, Supreme Carbon 40% 60"X50'</t>
  </si>
  <si>
    <t>B-EC-CBX5024 (Puremax EC-CBX, 50% 24" x 100')</t>
  </si>
  <si>
    <t>EC-CBX5024</t>
  </si>
  <si>
    <t>Puremax, Supreme Carbon 50% 24"X100'</t>
  </si>
  <si>
    <t>B-EC-CBX5060 (Puremax EC-CBX, 50% 60" x 50')</t>
  </si>
  <si>
    <t>Puremax, Supreme Carbon 50% 60"X50'</t>
  </si>
  <si>
    <t>60 (12/12/12/12/12)</t>
  </si>
  <si>
    <t>EC-IRX0524</t>
  </si>
  <si>
    <t>Koolmax, Supreme Ceramic 5% 24"X100'</t>
  </si>
  <si>
    <t>B-EC-IRX0560 (Koolmax EC-IRX, 05% 60" x 50')</t>
  </si>
  <si>
    <t>Koolmax, Supreme Ceramic 5% 60"X50'</t>
  </si>
  <si>
    <t>B-EC-IRX1524 (Koolmax EC-IRX, 15% 24" x 100')</t>
  </si>
  <si>
    <t>EC-IRX1524</t>
  </si>
  <si>
    <t>Koolmax, Supreme Ceramic 15% 24"X100'</t>
  </si>
  <si>
    <t>EC-ALPX5040LAH</t>
  </si>
  <si>
    <t>EC-ALPX7040LAH</t>
  </si>
  <si>
    <t>EC-IRX5036LAH</t>
  </si>
  <si>
    <t>EC-IRX5040LAH</t>
  </si>
  <si>
    <t>EC-IRX5060LAH</t>
  </si>
  <si>
    <t>EC-IRX7036LAH</t>
  </si>
  <si>
    <t>EC-IRX7040LAH</t>
  </si>
  <si>
    <t>B-EC-IRX1560 (Koolmax EC-IRX, 15% 60" x 50')</t>
  </si>
  <si>
    <t>Koolmax, Supreme Ceramic 15% 60"X50'</t>
  </si>
  <si>
    <t>B-EC-IRX2060 (Koolmax EC-IRX, 20% 60" x 50')</t>
  </si>
  <si>
    <t>Koolmax, Supreme Ceramic 20% 60"X50'</t>
  </si>
  <si>
    <t>B-EC-IRX3560 (Koolmax EC-IRX, 35% 60" x 50')</t>
  </si>
  <si>
    <t>Koolmax, Supreme Ceramic 35% 60"X50'</t>
  </si>
  <si>
    <t>B-EC-IRX4060 (Koolmax EC-IRX, 40% 60" x 50')</t>
  </si>
  <si>
    <t>Koolmax, Supreme Ceramic 40% 60"X50'</t>
  </si>
  <si>
    <t>B-EC-IRX5060 (Koolmax EC-IRX, 50% 60" x 50')</t>
  </si>
  <si>
    <t>Koolmax, Supreme Ceramic 50% 60"X50'</t>
  </si>
  <si>
    <t>EC-IRX7060</t>
  </si>
  <si>
    <t>Koolmax, Supreme Ceramic 70% 60"X100'</t>
  </si>
  <si>
    <t>B-EC-IRX7060 (Koolmax EC-IRX, 70% 60" x 50')</t>
  </si>
  <si>
    <t>Koolmax, Supreme Ceramic 70% 60"X50'</t>
  </si>
  <si>
    <t>EC-IRX7060LAH</t>
  </si>
  <si>
    <t>KOOLMAX 50(LAH)</t>
  </si>
  <si>
    <t>EC-IRX2024</t>
  </si>
  <si>
    <t>Koolmax, Supreme Ceramic 20% 24"X100'</t>
  </si>
  <si>
    <t>B-EC-IRX3524 (Koolmax EC-IRX, 35% 24" x 100')</t>
  </si>
  <si>
    <t>EC-IRX3524</t>
  </si>
  <si>
    <t>Koolmax, Supreme Ceramic 35% 24"X100'</t>
  </si>
  <si>
    <t>B-EC-IRX4024 (Koolmax EC-IRX, 40% 24" x 100')</t>
  </si>
  <si>
    <t>EC-IRX4024</t>
  </si>
  <si>
    <t>Koolmax, Supreme Ceramic 40% 24"X100'</t>
  </si>
  <si>
    <t>B-EC-IRX5024 (Koolmax EC-IRX, 50% 24" x 100')</t>
  </si>
  <si>
    <t>EC-IRX5024</t>
  </si>
  <si>
    <t>Koolmax, Supreme Ceramic 50% 24"X100'</t>
  </si>
  <si>
    <t>EC-IRX7024</t>
  </si>
  <si>
    <t>Koolmax, Supreme Ceramic 70% 24"X100'</t>
  </si>
  <si>
    <t>EC-IRX7024LAH</t>
  </si>
  <si>
    <t>EC-IRX5024LAH</t>
  </si>
  <si>
    <t>B-IC-CB0212 (i-Cool Carbon, 02% 12" x 100')</t>
  </si>
  <si>
    <t>IC-CB0212</t>
  </si>
  <si>
    <t>(C2 Carbon, 02% 12" x 100') GEOSHIELD</t>
  </si>
  <si>
    <t>B-IC-CB0224 (i-Cool Carbon, 02% 24" x 100')</t>
  </si>
  <si>
    <t>IC-CB0224</t>
  </si>
  <si>
    <t>(C2 Carbon, 02% 24" x 100') GEOSHIELD</t>
  </si>
  <si>
    <t>iCool Premium 02</t>
  </si>
  <si>
    <t>iCool Premium 05</t>
  </si>
  <si>
    <t>iCool Premium 15</t>
  </si>
  <si>
    <t>iCool Premium 20</t>
  </si>
  <si>
    <t>iCool Premium 35</t>
  </si>
  <si>
    <t>iCool Premium 40</t>
  </si>
  <si>
    <t>iCool Premium 50</t>
  </si>
  <si>
    <t>iCool Premium 70</t>
  </si>
  <si>
    <t>iCool Carbon 02</t>
  </si>
  <si>
    <t>iCool Carbon 05</t>
  </si>
  <si>
    <t>iCool Carbon 15</t>
  </si>
  <si>
    <t>iCool Carbon 20</t>
  </si>
  <si>
    <t>iCool Carbon 30</t>
  </si>
  <si>
    <t>iCool Carbon 35</t>
  </si>
  <si>
    <t>iCool Carbon 40</t>
  </si>
  <si>
    <t>iCool Carbon 50</t>
  </si>
  <si>
    <t>iCool Alpha Ultra 05</t>
  </si>
  <si>
    <t>iCool Alpha Ultra 15</t>
  </si>
  <si>
    <t>iCool Alpha Ultra 20</t>
  </si>
  <si>
    <t>iCool Alpha Ultra 35</t>
  </si>
  <si>
    <t>iCool Alpha Ultra 40</t>
  </si>
  <si>
    <t>iCool Alpha Ultra 50</t>
  </si>
  <si>
    <t>iCool Alpha Ultra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</si>
</sst>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29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49" fontId="5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2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3073" name="FILTER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914400</xdr:colOff>
          <xdr:row>1</xdr:row>
          <xdr:rowOff>38100</xdr:rowOff>
        </xdr:to>
        <xdr:sp macro="" textlink="">
          <xdr:nvSpPr>
            <xdr:cNvPr id="4097" name="FILTER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M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2" sqref="D22"/>
    </sheetView>
  </sheetViews>
  <sheetFormatPr defaultRowHeight="15"/>
  <cols>
    <col min="1" max="1" width="55.140625" style="4" bestFit="1" customWidth="1"/>
    <col min="2" max="2" width="0.85546875" style="11" customWidth="1"/>
    <col min="3" max="3" width="12.28515625" style="2" bestFit="1" customWidth="1"/>
    <col min="4" max="4" width="28.28515625" style="2" bestFit="1" customWidth="1"/>
    <col min="5" max="5" width="9.140625" style="3"/>
    <col min="6" max="6" width="18.5703125" style="3" bestFit="1" customWidth="1"/>
    <col min="7" max="7" width="9.140625" style="3"/>
    <col min="8" max="8" width="15.140625" style="3" bestFit="1" customWidth="1"/>
    <col min="9" max="9" width="0.85546875" style="11" customWidth="1"/>
    <col min="10" max="10" width="15.5703125" style="2" bestFit="1" customWidth="1"/>
    <col min="11" max="11" width="18" style="2" bestFit="1" customWidth="1"/>
    <col min="12" max="12" width="48.42578125" style="2" bestFit="1" customWidth="1"/>
    <col min="13" max="13" width="10.28515625" style="3" customWidth="1"/>
    <col min="14" max="16384" width="9.140625" style="2"/>
  </cols>
  <sheetData>
    <row r="1" spans="1:13">
      <c r="A1" s="6"/>
      <c r="B1" s="10"/>
      <c r="C1" s="14" t="s">
        <v>219</v>
      </c>
      <c r="D1" s="14"/>
      <c r="E1" s="14"/>
      <c r="F1" s="14"/>
      <c r="G1" s="14"/>
      <c r="H1" s="14"/>
      <c r="I1" s="10"/>
      <c r="J1" s="14" t="s">
        <v>220</v>
      </c>
      <c r="K1" s="14"/>
      <c r="L1" s="14"/>
      <c r="M1" s="14"/>
    </row>
    <row r="2" spans="1:13">
      <c r="A2" s="6" t="s">
        <v>289</v>
      </c>
      <c r="B2" s="10"/>
      <c r="C2" s="1" t="s">
        <v>146</v>
      </c>
      <c r="D2" s="1" t="s">
        <v>147</v>
      </c>
      <c r="E2" s="6" t="s">
        <v>185</v>
      </c>
      <c r="F2" s="6" t="s">
        <v>186</v>
      </c>
      <c r="G2" s="6" t="s">
        <v>187</v>
      </c>
      <c r="H2" s="6" t="s">
        <v>467</v>
      </c>
      <c r="I2" s="10"/>
      <c r="J2" s="6" t="s">
        <v>146</v>
      </c>
      <c r="K2" s="6" t="s">
        <v>221</v>
      </c>
      <c r="L2" s="6" t="s">
        <v>147</v>
      </c>
      <c r="M2" s="6" t="s">
        <v>187</v>
      </c>
    </row>
    <row r="3" spans="1:13">
      <c r="A3" s="7" t="s">
        <v>0</v>
      </c>
      <c r="C3" s="2" t="s">
        <v>149</v>
      </c>
      <c r="D3" s="2" t="s">
        <v>148</v>
      </c>
      <c r="E3" s="3">
        <v>5</v>
      </c>
      <c r="F3" s="3">
        <v>40</v>
      </c>
      <c r="G3" s="3">
        <v>280</v>
      </c>
      <c r="H3" s="13">
        <f>G3*1.12</f>
        <v>313.60000000000002</v>
      </c>
      <c r="J3" s="2" t="s">
        <v>149</v>
      </c>
      <c r="K3" s="2" t="s">
        <v>222</v>
      </c>
      <c r="L3" s="2" t="s">
        <v>249</v>
      </c>
      <c r="M3" s="3">
        <v>153</v>
      </c>
    </row>
    <row r="4" spans="1:13">
      <c r="A4" s="7" t="s">
        <v>1</v>
      </c>
      <c r="C4" s="2" t="s">
        <v>150</v>
      </c>
      <c r="D4" s="2" t="s">
        <v>188</v>
      </c>
      <c r="E4" s="3">
        <v>15</v>
      </c>
      <c r="F4" s="3">
        <v>40</v>
      </c>
      <c r="G4" s="3">
        <v>280</v>
      </c>
      <c r="H4" s="13">
        <f t="shared" ref="H4:H67" si="0">G4*1.12</f>
        <v>313.60000000000002</v>
      </c>
      <c r="J4" s="2" t="s">
        <v>150</v>
      </c>
      <c r="K4" s="2" t="s">
        <v>223</v>
      </c>
      <c r="L4" s="2" t="s">
        <v>250</v>
      </c>
      <c r="M4" s="3">
        <v>153</v>
      </c>
    </row>
    <row r="5" spans="1:13">
      <c r="A5" s="7" t="s">
        <v>2</v>
      </c>
      <c r="C5" s="2" t="s">
        <v>151</v>
      </c>
      <c r="D5" s="2" t="s">
        <v>189</v>
      </c>
      <c r="E5" s="3">
        <v>20</v>
      </c>
      <c r="F5" s="3">
        <v>40</v>
      </c>
      <c r="G5" s="3">
        <v>280</v>
      </c>
      <c r="H5" s="13">
        <f t="shared" si="0"/>
        <v>313.60000000000002</v>
      </c>
      <c r="J5" s="2" t="s">
        <v>151</v>
      </c>
      <c r="K5" s="2" t="s">
        <v>224</v>
      </c>
      <c r="L5" s="2" t="s">
        <v>239</v>
      </c>
      <c r="M5" s="3">
        <v>153</v>
      </c>
    </row>
    <row r="6" spans="1:13">
      <c r="A6" s="7" t="s">
        <v>3</v>
      </c>
      <c r="C6" s="2" t="s">
        <v>152</v>
      </c>
      <c r="D6" s="2" t="s">
        <v>190</v>
      </c>
      <c r="E6" s="3">
        <v>35</v>
      </c>
      <c r="F6" s="3">
        <v>40</v>
      </c>
      <c r="G6" s="3">
        <v>280</v>
      </c>
      <c r="H6" s="13">
        <f t="shared" si="0"/>
        <v>313.60000000000002</v>
      </c>
      <c r="J6" s="2" t="s">
        <v>152</v>
      </c>
      <c r="K6" s="2" t="s">
        <v>225</v>
      </c>
      <c r="L6" s="2" t="s">
        <v>251</v>
      </c>
      <c r="M6" s="3">
        <v>153</v>
      </c>
    </row>
    <row r="7" spans="1:13">
      <c r="A7" s="7" t="s">
        <v>4</v>
      </c>
      <c r="C7" s="2" t="s">
        <v>153</v>
      </c>
      <c r="D7" s="2" t="s">
        <v>191</v>
      </c>
      <c r="E7" s="3">
        <v>50</v>
      </c>
      <c r="F7" s="3">
        <v>40</v>
      </c>
      <c r="G7" s="3">
        <v>280</v>
      </c>
      <c r="H7" s="13">
        <f t="shared" si="0"/>
        <v>313.60000000000002</v>
      </c>
      <c r="J7" s="2" t="s">
        <v>507</v>
      </c>
      <c r="K7" s="2" t="s">
        <v>275</v>
      </c>
      <c r="L7" s="2" t="s">
        <v>240</v>
      </c>
      <c r="M7" s="3">
        <v>158.5</v>
      </c>
    </row>
    <row r="8" spans="1:13">
      <c r="A8" s="7" t="s">
        <v>5</v>
      </c>
      <c r="C8" s="2" t="s">
        <v>154</v>
      </c>
      <c r="D8" s="2" t="s">
        <v>192</v>
      </c>
      <c r="E8" s="3">
        <v>70</v>
      </c>
      <c r="F8" s="3">
        <v>40</v>
      </c>
      <c r="G8" s="3">
        <v>280</v>
      </c>
      <c r="H8" s="13">
        <f t="shared" si="0"/>
        <v>313.60000000000002</v>
      </c>
      <c r="J8" s="2" t="s">
        <v>508</v>
      </c>
      <c r="K8" s="2" t="s">
        <v>276</v>
      </c>
      <c r="L8" s="2" t="s">
        <v>241</v>
      </c>
      <c r="M8" s="3">
        <v>158.5</v>
      </c>
    </row>
    <row r="9" spans="1:13">
      <c r="A9" s="7" t="s">
        <v>6</v>
      </c>
      <c r="C9" s="2" t="s">
        <v>465</v>
      </c>
      <c r="D9" s="2" t="s">
        <v>212</v>
      </c>
      <c r="E9" s="3">
        <v>5</v>
      </c>
      <c r="F9" s="3">
        <v>24</v>
      </c>
      <c r="G9" s="3">
        <v>60</v>
      </c>
      <c r="H9" s="13">
        <f t="shared" si="0"/>
        <v>67.2</v>
      </c>
      <c r="J9" s="2" t="s">
        <v>465</v>
      </c>
      <c r="K9" s="2" t="s">
        <v>232</v>
      </c>
      <c r="L9" s="2" t="s">
        <v>466</v>
      </c>
      <c r="M9" s="3">
        <v>48.5</v>
      </c>
    </row>
    <row r="10" spans="1:13">
      <c r="A10" s="7" t="s">
        <v>7</v>
      </c>
      <c r="C10" s="2" t="s">
        <v>464</v>
      </c>
      <c r="D10" s="2" t="s">
        <v>212</v>
      </c>
      <c r="E10" s="3">
        <v>5</v>
      </c>
      <c r="F10" s="3">
        <v>36</v>
      </c>
      <c r="G10" s="3">
        <v>87</v>
      </c>
      <c r="H10" s="13">
        <f t="shared" si="0"/>
        <v>97.440000000000012</v>
      </c>
      <c r="J10" s="2" t="s">
        <v>464</v>
      </c>
      <c r="K10" s="2" t="s">
        <v>232</v>
      </c>
      <c r="L10" s="2" t="s">
        <v>264</v>
      </c>
      <c r="M10" s="3">
        <v>70.5</v>
      </c>
    </row>
    <row r="11" spans="1:13">
      <c r="A11" s="7" t="s">
        <v>8</v>
      </c>
      <c r="C11" s="2" t="s">
        <v>155</v>
      </c>
      <c r="D11" s="2" t="s">
        <v>212</v>
      </c>
      <c r="E11" s="3">
        <v>5</v>
      </c>
      <c r="F11" s="3">
        <v>40</v>
      </c>
      <c r="G11" s="3">
        <v>87</v>
      </c>
      <c r="H11" s="13">
        <f t="shared" si="0"/>
        <v>97.440000000000012</v>
      </c>
      <c r="J11" s="2" t="s">
        <v>155</v>
      </c>
      <c r="K11" s="2" t="s">
        <v>232</v>
      </c>
      <c r="L11" s="2" t="s">
        <v>252</v>
      </c>
      <c r="M11" s="3">
        <v>70.5</v>
      </c>
    </row>
    <row r="12" spans="1:13">
      <c r="A12" s="7" t="s">
        <v>9</v>
      </c>
      <c r="C12" s="2" t="s">
        <v>156</v>
      </c>
      <c r="D12" s="2" t="s">
        <v>212</v>
      </c>
      <c r="E12" s="3">
        <v>5</v>
      </c>
      <c r="F12" s="3" t="s">
        <v>397</v>
      </c>
      <c r="G12" s="3">
        <v>120</v>
      </c>
      <c r="H12" s="13">
        <f t="shared" si="0"/>
        <v>134.4</v>
      </c>
      <c r="J12" s="2" t="s">
        <v>156</v>
      </c>
      <c r="K12" s="2" t="s">
        <v>232</v>
      </c>
      <c r="L12" s="2" t="s">
        <v>288</v>
      </c>
      <c r="M12" s="3">
        <v>98.3</v>
      </c>
    </row>
    <row r="13" spans="1:13">
      <c r="A13" s="7" t="s">
        <v>9</v>
      </c>
      <c r="C13" s="2" t="s">
        <v>156</v>
      </c>
      <c r="D13" s="2" t="s">
        <v>212</v>
      </c>
      <c r="E13" s="3">
        <v>5</v>
      </c>
      <c r="F13" s="3" t="s">
        <v>398</v>
      </c>
      <c r="G13" s="3">
        <v>120</v>
      </c>
      <c r="H13" s="13">
        <f t="shared" si="0"/>
        <v>134.4</v>
      </c>
      <c r="J13" s="2" t="s">
        <v>156</v>
      </c>
      <c r="K13" s="2" t="s">
        <v>232</v>
      </c>
      <c r="L13" s="2" t="s">
        <v>288</v>
      </c>
      <c r="M13" s="3">
        <v>98.3</v>
      </c>
    </row>
    <row r="14" spans="1:13">
      <c r="A14" s="7" t="s">
        <v>9</v>
      </c>
      <c r="C14" s="2" t="s">
        <v>156</v>
      </c>
      <c r="D14" s="2" t="s">
        <v>212</v>
      </c>
      <c r="E14" s="3">
        <v>5</v>
      </c>
      <c r="F14" s="3" t="s">
        <v>399</v>
      </c>
      <c r="G14" s="3">
        <v>128</v>
      </c>
      <c r="H14" s="13">
        <f t="shared" si="0"/>
        <v>143.36000000000001</v>
      </c>
      <c r="J14" s="2" t="s">
        <v>156</v>
      </c>
      <c r="K14" s="2" t="s">
        <v>232</v>
      </c>
      <c r="L14" s="2" t="s">
        <v>288</v>
      </c>
      <c r="M14" s="3">
        <v>102.3</v>
      </c>
    </row>
    <row r="15" spans="1:13">
      <c r="A15" s="7" t="s">
        <v>9</v>
      </c>
      <c r="C15" s="2" t="s">
        <v>156</v>
      </c>
      <c r="D15" s="2" t="s">
        <v>212</v>
      </c>
      <c r="E15" s="3">
        <v>5</v>
      </c>
      <c r="F15" s="3" t="s">
        <v>400</v>
      </c>
      <c r="G15" s="3">
        <v>128</v>
      </c>
      <c r="H15" s="13">
        <f t="shared" si="0"/>
        <v>143.36000000000001</v>
      </c>
      <c r="J15" s="2" t="s">
        <v>156</v>
      </c>
      <c r="K15" s="2" t="s">
        <v>232</v>
      </c>
      <c r="L15" s="2" t="s">
        <v>288</v>
      </c>
      <c r="M15" s="3">
        <v>102.3</v>
      </c>
    </row>
    <row r="16" spans="1:13">
      <c r="A16" s="7" t="s">
        <v>9</v>
      </c>
      <c r="C16" s="2" t="s">
        <v>156</v>
      </c>
      <c r="D16" s="2" t="s">
        <v>212</v>
      </c>
      <c r="E16" s="3">
        <v>5</v>
      </c>
      <c r="F16" s="3" t="s">
        <v>470</v>
      </c>
      <c r="G16" s="3">
        <v>136</v>
      </c>
      <c r="H16" s="13">
        <f t="shared" si="0"/>
        <v>152.32000000000002</v>
      </c>
      <c r="J16" s="2" t="s">
        <v>156</v>
      </c>
      <c r="K16" s="2" t="s">
        <v>232</v>
      </c>
      <c r="L16" s="2" t="s">
        <v>288</v>
      </c>
      <c r="M16" s="3">
        <v>114.9</v>
      </c>
    </row>
    <row r="17" spans="1:13">
      <c r="A17" s="7" t="s">
        <v>9</v>
      </c>
      <c r="C17" s="2" t="s">
        <v>156</v>
      </c>
      <c r="D17" s="2" t="s">
        <v>212</v>
      </c>
      <c r="E17" s="3">
        <v>5</v>
      </c>
      <c r="F17" s="3" t="s">
        <v>499</v>
      </c>
      <c r="G17" s="3">
        <v>157.5</v>
      </c>
      <c r="H17" s="13">
        <f t="shared" si="0"/>
        <v>176.4</v>
      </c>
      <c r="J17" s="2" t="s">
        <v>156</v>
      </c>
      <c r="K17" s="2" t="s">
        <v>232</v>
      </c>
      <c r="L17" s="2" t="s">
        <v>288</v>
      </c>
      <c r="M17" s="3">
        <v>127.5</v>
      </c>
    </row>
    <row r="18" spans="1:13">
      <c r="A18" s="7" t="s">
        <v>468</v>
      </c>
      <c r="C18" s="2" t="s">
        <v>156</v>
      </c>
      <c r="D18" s="2" t="s">
        <v>212</v>
      </c>
      <c r="E18" s="3">
        <v>5</v>
      </c>
      <c r="F18" s="3">
        <v>60</v>
      </c>
      <c r="G18" s="3">
        <v>68</v>
      </c>
      <c r="H18" s="13">
        <f t="shared" si="0"/>
        <v>76.160000000000011</v>
      </c>
      <c r="J18" s="2" t="s">
        <v>156</v>
      </c>
      <c r="K18" s="2" t="s">
        <v>232</v>
      </c>
      <c r="L18" s="2" t="s">
        <v>469</v>
      </c>
      <c r="M18" s="3">
        <v>58</v>
      </c>
    </row>
    <row r="19" spans="1:13">
      <c r="A19" s="7" t="s">
        <v>471</v>
      </c>
      <c r="C19" s="2" t="s">
        <v>472</v>
      </c>
      <c r="D19" s="2" t="s">
        <v>213</v>
      </c>
      <c r="E19" s="3">
        <v>15</v>
      </c>
      <c r="F19" s="3">
        <v>24</v>
      </c>
      <c r="G19" s="3">
        <v>60</v>
      </c>
      <c r="H19" s="13">
        <f t="shared" si="0"/>
        <v>67.2</v>
      </c>
      <c r="J19" s="2" t="s">
        <v>472</v>
      </c>
      <c r="K19" s="2" t="s">
        <v>233</v>
      </c>
      <c r="L19" s="2" t="s">
        <v>473</v>
      </c>
      <c r="M19" s="3">
        <v>48.5</v>
      </c>
    </row>
    <row r="20" spans="1:13">
      <c r="A20" s="7" t="s">
        <v>10</v>
      </c>
      <c r="C20" s="2" t="s">
        <v>157</v>
      </c>
      <c r="D20" s="2" t="s">
        <v>213</v>
      </c>
      <c r="E20" s="3">
        <v>15</v>
      </c>
      <c r="F20" s="3">
        <v>36</v>
      </c>
      <c r="G20" s="3">
        <v>87</v>
      </c>
      <c r="H20" s="13">
        <f t="shared" si="0"/>
        <v>97.440000000000012</v>
      </c>
      <c r="J20" s="2" t="s">
        <v>157</v>
      </c>
      <c r="K20" s="2" t="s">
        <v>233</v>
      </c>
      <c r="L20" s="2" t="s">
        <v>265</v>
      </c>
      <c r="M20" s="3">
        <v>70.5</v>
      </c>
    </row>
    <row r="21" spans="1:13">
      <c r="A21" s="7" t="s">
        <v>11</v>
      </c>
      <c r="C21" s="2" t="s">
        <v>158</v>
      </c>
      <c r="D21" s="2" t="s">
        <v>213</v>
      </c>
      <c r="E21" s="3">
        <v>15</v>
      </c>
      <c r="F21" s="3">
        <v>40</v>
      </c>
      <c r="G21" s="3">
        <v>87</v>
      </c>
      <c r="H21" s="13">
        <f t="shared" si="0"/>
        <v>97.440000000000012</v>
      </c>
      <c r="J21" s="2" t="s">
        <v>158</v>
      </c>
      <c r="K21" s="2" t="s">
        <v>233</v>
      </c>
      <c r="L21" s="2" t="s">
        <v>253</v>
      </c>
      <c r="M21" s="3">
        <v>70.5</v>
      </c>
    </row>
    <row r="22" spans="1:13">
      <c r="A22" s="7" t="s">
        <v>12</v>
      </c>
      <c r="C22" s="2" t="s">
        <v>159</v>
      </c>
      <c r="D22" s="2" t="s">
        <v>213</v>
      </c>
      <c r="E22" s="3">
        <v>15</v>
      </c>
      <c r="F22" s="3" t="s">
        <v>397</v>
      </c>
      <c r="G22" s="3">
        <v>120</v>
      </c>
      <c r="H22" s="13">
        <f t="shared" si="0"/>
        <v>134.4</v>
      </c>
      <c r="J22" s="2" t="s">
        <v>159</v>
      </c>
      <c r="K22" s="2" t="s">
        <v>233</v>
      </c>
      <c r="L22" s="2" t="s">
        <v>278</v>
      </c>
      <c r="M22" s="3">
        <v>98.3</v>
      </c>
    </row>
    <row r="23" spans="1:13">
      <c r="A23" s="7" t="s">
        <v>12</v>
      </c>
      <c r="C23" s="2" t="s">
        <v>159</v>
      </c>
      <c r="D23" s="2" t="s">
        <v>213</v>
      </c>
      <c r="E23" s="3">
        <v>15</v>
      </c>
      <c r="F23" s="3" t="s">
        <v>398</v>
      </c>
      <c r="G23" s="3">
        <v>120</v>
      </c>
      <c r="H23" s="13">
        <f t="shared" si="0"/>
        <v>134.4</v>
      </c>
      <c r="J23" s="2" t="s">
        <v>159</v>
      </c>
      <c r="K23" s="2" t="s">
        <v>233</v>
      </c>
      <c r="L23" s="2" t="s">
        <v>278</v>
      </c>
      <c r="M23" s="3">
        <v>98.3</v>
      </c>
    </row>
    <row r="24" spans="1:13">
      <c r="A24" s="7" t="s">
        <v>476</v>
      </c>
      <c r="C24" s="2" t="s">
        <v>159</v>
      </c>
      <c r="D24" s="2" t="s">
        <v>213</v>
      </c>
      <c r="E24" s="3">
        <v>15</v>
      </c>
      <c r="F24" s="3">
        <v>60</v>
      </c>
      <c r="G24" s="3">
        <v>68</v>
      </c>
      <c r="H24" s="13">
        <f t="shared" si="0"/>
        <v>76.160000000000011</v>
      </c>
      <c r="J24" s="2" t="s">
        <v>159</v>
      </c>
      <c r="K24" s="2" t="s">
        <v>233</v>
      </c>
      <c r="L24" s="2" t="s">
        <v>477</v>
      </c>
      <c r="M24" s="3">
        <v>58</v>
      </c>
    </row>
    <row r="25" spans="1:13">
      <c r="A25" s="7" t="s">
        <v>13</v>
      </c>
      <c r="C25" s="2" t="s">
        <v>474</v>
      </c>
      <c r="D25" s="2" t="s">
        <v>214</v>
      </c>
      <c r="E25" s="3">
        <v>20</v>
      </c>
      <c r="F25" s="3">
        <v>24</v>
      </c>
      <c r="G25" s="3">
        <v>60</v>
      </c>
      <c r="H25" s="13">
        <f t="shared" si="0"/>
        <v>67.2</v>
      </c>
      <c r="J25" s="2" t="s">
        <v>474</v>
      </c>
      <c r="K25" s="2" t="s">
        <v>234</v>
      </c>
      <c r="L25" s="2" t="s">
        <v>475</v>
      </c>
      <c r="M25" s="3">
        <v>48.5</v>
      </c>
    </row>
    <row r="26" spans="1:13">
      <c r="A26" s="7" t="s">
        <v>14</v>
      </c>
      <c r="C26" s="2" t="s">
        <v>160</v>
      </c>
      <c r="D26" s="2" t="s">
        <v>214</v>
      </c>
      <c r="E26" s="3">
        <v>20</v>
      </c>
      <c r="F26" s="3">
        <v>36</v>
      </c>
      <c r="G26" s="3">
        <v>87</v>
      </c>
      <c r="H26" s="13">
        <f t="shared" si="0"/>
        <v>97.440000000000012</v>
      </c>
      <c r="J26" s="2" t="s">
        <v>160</v>
      </c>
      <c r="K26" s="2" t="s">
        <v>234</v>
      </c>
      <c r="L26" s="2" t="s">
        <v>266</v>
      </c>
      <c r="M26" s="3">
        <v>70.5</v>
      </c>
    </row>
    <row r="27" spans="1:13">
      <c r="A27" s="7" t="s">
        <v>15</v>
      </c>
      <c r="C27" s="2" t="s">
        <v>161</v>
      </c>
      <c r="D27" s="2" t="s">
        <v>214</v>
      </c>
      <c r="E27" s="3">
        <v>20</v>
      </c>
      <c r="F27" s="3">
        <v>40</v>
      </c>
      <c r="G27" s="3">
        <v>87</v>
      </c>
      <c r="H27" s="13">
        <f t="shared" si="0"/>
        <v>97.440000000000012</v>
      </c>
      <c r="J27" s="2" t="s">
        <v>161</v>
      </c>
      <c r="K27" s="2" t="s">
        <v>234</v>
      </c>
      <c r="L27" s="2" t="s">
        <v>242</v>
      </c>
      <c r="M27" s="3">
        <v>70.5</v>
      </c>
    </row>
    <row r="28" spans="1:13">
      <c r="A28" s="7" t="s">
        <v>16</v>
      </c>
      <c r="C28" s="2" t="s">
        <v>162</v>
      </c>
      <c r="D28" s="2" t="s">
        <v>214</v>
      </c>
      <c r="E28" s="3">
        <v>20</v>
      </c>
      <c r="F28" s="3" t="s">
        <v>397</v>
      </c>
      <c r="G28" s="3">
        <v>120</v>
      </c>
      <c r="H28" s="13">
        <f t="shared" si="0"/>
        <v>134.4</v>
      </c>
      <c r="J28" s="2" t="s">
        <v>162</v>
      </c>
      <c r="K28" s="2" t="s">
        <v>234</v>
      </c>
      <c r="L28" s="2" t="s">
        <v>279</v>
      </c>
      <c r="M28" s="3">
        <v>98.3</v>
      </c>
    </row>
    <row r="29" spans="1:13">
      <c r="A29" s="7" t="s">
        <v>16</v>
      </c>
      <c r="C29" s="2" t="s">
        <v>162</v>
      </c>
      <c r="D29" s="2" t="s">
        <v>214</v>
      </c>
      <c r="E29" s="3">
        <v>20</v>
      </c>
      <c r="F29" s="3" t="s">
        <v>398</v>
      </c>
      <c r="G29" s="3">
        <v>120</v>
      </c>
      <c r="H29" s="13">
        <f t="shared" si="0"/>
        <v>134.4</v>
      </c>
      <c r="J29" s="2" t="s">
        <v>162</v>
      </c>
      <c r="K29" s="2" t="s">
        <v>234</v>
      </c>
      <c r="L29" s="2" t="s">
        <v>279</v>
      </c>
      <c r="M29" s="3">
        <v>98.3</v>
      </c>
    </row>
    <row r="30" spans="1:13">
      <c r="A30" s="7" t="s">
        <v>478</v>
      </c>
      <c r="C30" s="2" t="s">
        <v>162</v>
      </c>
      <c r="D30" s="2" t="s">
        <v>214</v>
      </c>
      <c r="E30" s="3">
        <v>20</v>
      </c>
      <c r="F30" s="3">
        <v>60</v>
      </c>
      <c r="G30" s="3">
        <v>68</v>
      </c>
      <c r="H30" s="13">
        <f t="shared" si="0"/>
        <v>76.160000000000011</v>
      </c>
      <c r="J30" s="2" t="s">
        <v>162</v>
      </c>
      <c r="K30" s="2" t="s">
        <v>234</v>
      </c>
      <c r="L30" s="2" t="s">
        <v>479</v>
      </c>
      <c r="M30" s="3">
        <v>58</v>
      </c>
    </row>
    <row r="31" spans="1:13">
      <c r="A31" s="7" t="s">
        <v>17</v>
      </c>
      <c r="C31" s="2" t="s">
        <v>480</v>
      </c>
      <c r="D31" s="2" t="s">
        <v>218</v>
      </c>
      <c r="E31" s="3">
        <v>25</v>
      </c>
      <c r="F31" s="3">
        <v>24</v>
      </c>
      <c r="G31" s="3">
        <v>60</v>
      </c>
      <c r="H31" s="13">
        <f t="shared" si="0"/>
        <v>67.2</v>
      </c>
      <c r="J31" s="2" t="s">
        <v>480</v>
      </c>
      <c r="K31" s="2" t="s">
        <v>235</v>
      </c>
      <c r="L31" s="2" t="s">
        <v>481</v>
      </c>
      <c r="M31" s="3">
        <v>48.5</v>
      </c>
    </row>
    <row r="32" spans="1:13">
      <c r="A32" s="7" t="s">
        <v>18</v>
      </c>
      <c r="C32" s="2" t="s">
        <v>163</v>
      </c>
      <c r="D32" s="2" t="s">
        <v>218</v>
      </c>
      <c r="E32" s="3">
        <v>25</v>
      </c>
      <c r="F32" s="3">
        <v>36</v>
      </c>
      <c r="G32" s="3">
        <v>87</v>
      </c>
      <c r="H32" s="13">
        <f t="shared" si="0"/>
        <v>97.440000000000012</v>
      </c>
      <c r="J32" s="2" t="s">
        <v>163</v>
      </c>
      <c r="K32" s="2" t="s">
        <v>235</v>
      </c>
      <c r="L32" s="2" t="s">
        <v>267</v>
      </c>
      <c r="M32" s="3">
        <v>70.5</v>
      </c>
    </row>
    <row r="33" spans="1:13">
      <c r="A33" s="7" t="s">
        <v>19</v>
      </c>
      <c r="C33" s="2" t="s">
        <v>164</v>
      </c>
      <c r="D33" s="2" t="s">
        <v>218</v>
      </c>
      <c r="E33" s="3">
        <v>25</v>
      </c>
      <c r="F33" s="3">
        <v>40</v>
      </c>
      <c r="G33" s="3">
        <v>87</v>
      </c>
      <c r="H33" s="13">
        <f t="shared" si="0"/>
        <v>97.440000000000012</v>
      </c>
      <c r="J33" s="2" t="s">
        <v>164</v>
      </c>
      <c r="K33" s="2" t="s">
        <v>235</v>
      </c>
      <c r="L33" s="2" t="s">
        <v>254</v>
      </c>
      <c r="M33" s="3">
        <v>70.5</v>
      </c>
    </row>
    <row r="34" spans="1:13">
      <c r="A34" s="7" t="s">
        <v>20</v>
      </c>
      <c r="C34" s="2" t="s">
        <v>165</v>
      </c>
      <c r="D34" s="2" t="s">
        <v>218</v>
      </c>
      <c r="E34" s="3">
        <v>25</v>
      </c>
      <c r="F34" s="3" t="s">
        <v>397</v>
      </c>
      <c r="G34" s="3">
        <v>120</v>
      </c>
      <c r="H34" s="13">
        <f t="shared" si="0"/>
        <v>134.4</v>
      </c>
      <c r="J34" s="2" t="s">
        <v>165</v>
      </c>
      <c r="K34" s="2" t="s">
        <v>235</v>
      </c>
      <c r="L34" s="2" t="s">
        <v>280</v>
      </c>
      <c r="M34" s="3">
        <v>98.3</v>
      </c>
    </row>
    <row r="35" spans="1:13">
      <c r="A35" s="7" t="s">
        <v>20</v>
      </c>
      <c r="C35" s="2" t="s">
        <v>165</v>
      </c>
      <c r="D35" s="2" t="s">
        <v>218</v>
      </c>
      <c r="E35" s="3">
        <v>25</v>
      </c>
      <c r="F35" s="3" t="s">
        <v>398</v>
      </c>
      <c r="G35" s="3">
        <v>120</v>
      </c>
      <c r="H35" s="13">
        <f t="shared" si="0"/>
        <v>134.4</v>
      </c>
      <c r="J35" s="2" t="s">
        <v>165</v>
      </c>
      <c r="K35" s="2" t="s">
        <v>235</v>
      </c>
      <c r="L35" s="2" t="s">
        <v>280</v>
      </c>
      <c r="M35" s="3">
        <v>98.3</v>
      </c>
    </row>
    <row r="36" spans="1:13">
      <c r="A36" s="7" t="s">
        <v>482</v>
      </c>
      <c r="C36" s="2" t="s">
        <v>165</v>
      </c>
      <c r="D36" s="2" t="s">
        <v>218</v>
      </c>
      <c r="E36" s="3">
        <v>25</v>
      </c>
      <c r="F36" s="3">
        <v>60</v>
      </c>
      <c r="G36" s="3">
        <v>68</v>
      </c>
      <c r="H36" s="13">
        <f t="shared" si="0"/>
        <v>76.160000000000011</v>
      </c>
      <c r="J36" s="2" t="s">
        <v>165</v>
      </c>
      <c r="K36" s="2" t="s">
        <v>235</v>
      </c>
      <c r="L36" s="2" t="s">
        <v>483</v>
      </c>
      <c r="M36" s="3">
        <v>58</v>
      </c>
    </row>
    <row r="37" spans="1:13">
      <c r="A37" s="7" t="s">
        <v>484</v>
      </c>
      <c r="C37" s="2" t="s">
        <v>485</v>
      </c>
      <c r="D37" s="2" t="s">
        <v>215</v>
      </c>
      <c r="E37" s="3">
        <v>35</v>
      </c>
      <c r="F37" s="3">
        <v>24</v>
      </c>
      <c r="G37" s="3">
        <v>60</v>
      </c>
      <c r="H37" s="13">
        <f t="shared" si="0"/>
        <v>67.2</v>
      </c>
      <c r="J37" s="2" t="s">
        <v>485</v>
      </c>
      <c r="K37" s="2" t="s">
        <v>236</v>
      </c>
      <c r="L37" s="2" t="s">
        <v>486</v>
      </c>
      <c r="M37" s="3">
        <v>48.5</v>
      </c>
    </row>
    <row r="38" spans="1:13">
      <c r="A38" s="7" t="s">
        <v>21</v>
      </c>
      <c r="C38" s="2" t="s">
        <v>166</v>
      </c>
      <c r="D38" s="2" t="s">
        <v>215</v>
      </c>
      <c r="E38" s="3">
        <v>35</v>
      </c>
      <c r="F38" s="3">
        <v>36</v>
      </c>
      <c r="G38" s="3">
        <v>87</v>
      </c>
      <c r="H38" s="13">
        <f t="shared" si="0"/>
        <v>97.440000000000012</v>
      </c>
      <c r="J38" s="2" t="s">
        <v>166</v>
      </c>
      <c r="K38" s="2" t="s">
        <v>236</v>
      </c>
      <c r="L38" s="2" t="s">
        <v>268</v>
      </c>
      <c r="M38" s="3">
        <v>70.5</v>
      </c>
    </row>
    <row r="39" spans="1:13">
      <c r="A39" s="7" t="s">
        <v>22</v>
      </c>
      <c r="C39" s="2" t="s">
        <v>167</v>
      </c>
      <c r="D39" s="2" t="s">
        <v>215</v>
      </c>
      <c r="E39" s="3">
        <v>35</v>
      </c>
      <c r="F39" s="3">
        <v>40</v>
      </c>
      <c r="G39" s="3">
        <v>87</v>
      </c>
      <c r="H39" s="13">
        <f t="shared" si="0"/>
        <v>97.440000000000012</v>
      </c>
      <c r="J39" s="2" t="s">
        <v>167</v>
      </c>
      <c r="K39" s="2" t="s">
        <v>236</v>
      </c>
      <c r="L39" s="2" t="s">
        <v>255</v>
      </c>
      <c r="M39" s="3">
        <v>70.5</v>
      </c>
    </row>
    <row r="40" spans="1:13">
      <c r="A40" s="7" t="s">
        <v>23</v>
      </c>
      <c r="C40" s="2" t="s">
        <v>168</v>
      </c>
      <c r="D40" s="2" t="s">
        <v>215</v>
      </c>
      <c r="E40" s="3">
        <v>35</v>
      </c>
      <c r="F40" s="3" t="s">
        <v>397</v>
      </c>
      <c r="G40" s="3">
        <v>120</v>
      </c>
      <c r="H40" s="13">
        <f t="shared" si="0"/>
        <v>134.4</v>
      </c>
      <c r="J40" s="2" t="s">
        <v>168</v>
      </c>
      <c r="K40" s="2" t="s">
        <v>236</v>
      </c>
      <c r="L40" s="2" t="s">
        <v>281</v>
      </c>
      <c r="M40" s="3">
        <v>98.3</v>
      </c>
    </row>
    <row r="41" spans="1:13">
      <c r="A41" s="7" t="s">
        <v>23</v>
      </c>
      <c r="C41" s="2" t="s">
        <v>168</v>
      </c>
      <c r="D41" s="2" t="s">
        <v>215</v>
      </c>
      <c r="E41" s="3">
        <v>35</v>
      </c>
      <c r="F41" s="3" t="s">
        <v>398</v>
      </c>
      <c r="G41" s="3">
        <v>120</v>
      </c>
      <c r="H41" s="13">
        <f t="shared" si="0"/>
        <v>134.4</v>
      </c>
      <c r="J41" s="2" t="s">
        <v>168</v>
      </c>
      <c r="K41" s="2" t="s">
        <v>236</v>
      </c>
      <c r="L41" s="2" t="s">
        <v>281</v>
      </c>
      <c r="M41" s="3">
        <v>98.3</v>
      </c>
    </row>
    <row r="42" spans="1:13">
      <c r="A42" s="7" t="s">
        <v>487</v>
      </c>
      <c r="C42" s="2" t="s">
        <v>168</v>
      </c>
      <c r="D42" s="2" t="s">
        <v>215</v>
      </c>
      <c r="E42" s="3">
        <v>35</v>
      </c>
      <c r="F42" s="3">
        <v>60</v>
      </c>
      <c r="G42" s="3">
        <v>68</v>
      </c>
      <c r="H42" s="13">
        <f t="shared" si="0"/>
        <v>76.160000000000011</v>
      </c>
      <c r="J42" s="2" t="s">
        <v>168</v>
      </c>
      <c r="K42" s="2" t="s">
        <v>236</v>
      </c>
      <c r="L42" s="2" t="s">
        <v>488</v>
      </c>
      <c r="M42" s="3">
        <v>58</v>
      </c>
    </row>
    <row r="43" spans="1:13">
      <c r="A43" s="7" t="s">
        <v>489</v>
      </c>
      <c r="C43" s="2" t="s">
        <v>490</v>
      </c>
      <c r="D43" s="2" t="s">
        <v>216</v>
      </c>
      <c r="E43" s="3">
        <v>40</v>
      </c>
      <c r="F43" s="3">
        <v>24</v>
      </c>
      <c r="G43" s="3">
        <v>60</v>
      </c>
      <c r="H43" s="13">
        <f t="shared" si="0"/>
        <v>67.2</v>
      </c>
      <c r="J43" s="2" t="s">
        <v>490</v>
      </c>
      <c r="K43" s="2" t="s">
        <v>237</v>
      </c>
      <c r="L43" s="2" t="s">
        <v>491</v>
      </c>
      <c r="M43" s="3">
        <v>48.5</v>
      </c>
    </row>
    <row r="44" spans="1:13">
      <c r="A44" s="7" t="s">
        <v>24</v>
      </c>
      <c r="C44" s="2" t="s">
        <v>169</v>
      </c>
      <c r="D44" s="2" t="s">
        <v>216</v>
      </c>
      <c r="E44" s="3">
        <v>40</v>
      </c>
      <c r="F44" s="3">
        <v>36</v>
      </c>
      <c r="G44" s="3">
        <v>87</v>
      </c>
      <c r="H44" s="13">
        <f t="shared" si="0"/>
        <v>97.440000000000012</v>
      </c>
      <c r="J44" s="2" t="s">
        <v>169</v>
      </c>
      <c r="K44" s="2" t="s">
        <v>237</v>
      </c>
      <c r="L44" s="2" t="s">
        <v>269</v>
      </c>
      <c r="M44" s="3">
        <v>70.5</v>
      </c>
    </row>
    <row r="45" spans="1:13">
      <c r="A45" s="7" t="s">
        <v>25</v>
      </c>
      <c r="C45" s="2" t="s">
        <v>170</v>
      </c>
      <c r="D45" s="2" t="s">
        <v>216</v>
      </c>
      <c r="E45" s="3">
        <v>40</v>
      </c>
      <c r="F45" s="3">
        <v>40</v>
      </c>
      <c r="G45" s="3">
        <v>87</v>
      </c>
      <c r="H45" s="13">
        <f t="shared" si="0"/>
        <v>97.440000000000012</v>
      </c>
      <c r="J45" s="2" t="s">
        <v>170</v>
      </c>
      <c r="K45" s="2" t="s">
        <v>237</v>
      </c>
      <c r="L45" s="2" t="s">
        <v>243</v>
      </c>
      <c r="M45" s="3">
        <v>70.5</v>
      </c>
    </row>
    <row r="46" spans="1:13">
      <c r="A46" s="7" t="s">
        <v>26</v>
      </c>
      <c r="C46" s="2" t="s">
        <v>171</v>
      </c>
      <c r="D46" s="2" t="s">
        <v>216</v>
      </c>
      <c r="E46" s="3">
        <v>40</v>
      </c>
      <c r="F46" s="3" t="s">
        <v>397</v>
      </c>
      <c r="G46" s="3">
        <v>120</v>
      </c>
      <c r="H46" s="13">
        <f t="shared" si="0"/>
        <v>134.4</v>
      </c>
      <c r="J46" s="2" t="s">
        <v>171</v>
      </c>
      <c r="K46" s="2" t="s">
        <v>237</v>
      </c>
      <c r="L46" s="2" t="s">
        <v>282</v>
      </c>
      <c r="M46" s="3">
        <v>98.3</v>
      </c>
    </row>
    <row r="47" spans="1:13">
      <c r="A47" s="7" t="s">
        <v>26</v>
      </c>
      <c r="C47" s="2" t="s">
        <v>171</v>
      </c>
      <c r="D47" s="2" t="s">
        <v>216</v>
      </c>
      <c r="E47" s="3">
        <v>40</v>
      </c>
      <c r="F47" s="3" t="s">
        <v>398</v>
      </c>
      <c r="G47" s="3">
        <v>120</v>
      </c>
      <c r="H47" s="13">
        <f t="shared" si="0"/>
        <v>134.4</v>
      </c>
      <c r="J47" s="2" t="s">
        <v>171</v>
      </c>
      <c r="K47" s="2" t="s">
        <v>237</v>
      </c>
      <c r="L47" s="2" t="s">
        <v>282</v>
      </c>
      <c r="M47" s="3">
        <v>98.3</v>
      </c>
    </row>
    <row r="48" spans="1:13">
      <c r="A48" s="7" t="s">
        <v>492</v>
      </c>
      <c r="C48" s="2" t="s">
        <v>171</v>
      </c>
      <c r="D48" s="2" t="s">
        <v>216</v>
      </c>
      <c r="E48" s="3">
        <v>40</v>
      </c>
      <c r="F48" s="3">
        <v>60</v>
      </c>
      <c r="G48" s="3">
        <v>68</v>
      </c>
      <c r="H48" s="13">
        <f t="shared" si="0"/>
        <v>76.160000000000011</v>
      </c>
      <c r="J48" s="2" t="s">
        <v>171</v>
      </c>
      <c r="K48" s="2" t="s">
        <v>237</v>
      </c>
      <c r="L48" s="2" t="s">
        <v>493</v>
      </c>
      <c r="M48" s="3">
        <v>58</v>
      </c>
    </row>
    <row r="49" spans="1:13">
      <c r="A49" s="7" t="s">
        <v>494</v>
      </c>
      <c r="C49" s="2" t="s">
        <v>495</v>
      </c>
      <c r="D49" s="2" t="s">
        <v>217</v>
      </c>
      <c r="E49" s="3">
        <v>50</v>
      </c>
      <c r="F49" s="3">
        <v>24</v>
      </c>
      <c r="G49" s="3">
        <v>60</v>
      </c>
      <c r="H49" s="13">
        <f t="shared" si="0"/>
        <v>67.2</v>
      </c>
      <c r="J49" s="2" t="s">
        <v>495</v>
      </c>
      <c r="K49" s="2" t="s">
        <v>238</v>
      </c>
      <c r="L49" s="2" t="s">
        <v>496</v>
      </c>
      <c r="M49" s="3">
        <v>48.5</v>
      </c>
    </row>
    <row r="50" spans="1:13">
      <c r="A50" s="7" t="s">
        <v>27</v>
      </c>
      <c r="C50" s="2" t="s">
        <v>172</v>
      </c>
      <c r="D50" s="2" t="s">
        <v>217</v>
      </c>
      <c r="E50" s="3">
        <v>50</v>
      </c>
      <c r="F50" s="3">
        <v>36</v>
      </c>
      <c r="G50" s="3">
        <v>87</v>
      </c>
      <c r="H50" s="13">
        <f t="shared" si="0"/>
        <v>97.440000000000012</v>
      </c>
      <c r="J50" s="2" t="s">
        <v>172</v>
      </c>
      <c r="K50" s="2" t="s">
        <v>238</v>
      </c>
      <c r="L50" s="2" t="s">
        <v>259</v>
      </c>
      <c r="M50" s="3">
        <v>70.5</v>
      </c>
    </row>
    <row r="51" spans="1:13">
      <c r="A51" s="7" t="s">
        <v>28</v>
      </c>
      <c r="C51" s="2" t="s">
        <v>173</v>
      </c>
      <c r="D51" s="2" t="s">
        <v>217</v>
      </c>
      <c r="E51" s="3">
        <v>50</v>
      </c>
      <c r="F51" s="3">
        <v>40</v>
      </c>
      <c r="G51" s="3">
        <v>87</v>
      </c>
      <c r="H51" s="13">
        <f t="shared" si="0"/>
        <v>97.440000000000012</v>
      </c>
      <c r="J51" s="2" t="s">
        <v>173</v>
      </c>
      <c r="K51" s="2" t="s">
        <v>238</v>
      </c>
      <c r="L51" s="2" t="s">
        <v>244</v>
      </c>
      <c r="M51" s="3">
        <v>70.5</v>
      </c>
    </row>
    <row r="52" spans="1:13">
      <c r="A52" s="7" t="s">
        <v>29</v>
      </c>
      <c r="C52" s="2" t="s">
        <v>174</v>
      </c>
      <c r="D52" s="2" t="s">
        <v>217</v>
      </c>
      <c r="E52" s="3">
        <v>50</v>
      </c>
      <c r="F52" s="3" t="s">
        <v>397</v>
      </c>
      <c r="G52" s="3">
        <v>120</v>
      </c>
      <c r="H52" s="13">
        <f t="shared" si="0"/>
        <v>134.4</v>
      </c>
      <c r="J52" s="2" t="s">
        <v>174</v>
      </c>
      <c r="K52" s="2" t="s">
        <v>238</v>
      </c>
      <c r="L52" s="2" t="s">
        <v>260</v>
      </c>
      <c r="M52" s="3">
        <v>98.3</v>
      </c>
    </row>
    <row r="53" spans="1:13">
      <c r="A53" s="7" t="s">
        <v>29</v>
      </c>
      <c r="C53" s="2" t="s">
        <v>174</v>
      </c>
      <c r="D53" s="2" t="s">
        <v>217</v>
      </c>
      <c r="E53" s="3">
        <v>50</v>
      </c>
      <c r="F53" s="3" t="s">
        <v>398</v>
      </c>
      <c r="G53" s="3">
        <v>120</v>
      </c>
      <c r="H53" s="13">
        <f t="shared" si="0"/>
        <v>134.4</v>
      </c>
      <c r="J53" s="2" t="s">
        <v>174</v>
      </c>
      <c r="K53" s="2" t="s">
        <v>238</v>
      </c>
      <c r="L53" s="2" t="s">
        <v>260</v>
      </c>
      <c r="M53" s="3">
        <v>98.3</v>
      </c>
    </row>
    <row r="54" spans="1:13">
      <c r="A54" s="7" t="s">
        <v>497</v>
      </c>
      <c r="C54" s="2" t="s">
        <v>174</v>
      </c>
      <c r="D54" s="2" t="s">
        <v>217</v>
      </c>
      <c r="E54" s="3">
        <v>50</v>
      </c>
      <c r="F54" s="3">
        <v>60</v>
      </c>
      <c r="G54" s="3">
        <v>68</v>
      </c>
      <c r="H54" s="13">
        <f t="shared" si="0"/>
        <v>76.160000000000011</v>
      </c>
      <c r="J54" s="2" t="s">
        <v>174</v>
      </c>
      <c r="K54" s="2" t="s">
        <v>238</v>
      </c>
      <c r="L54" s="2" t="s">
        <v>498</v>
      </c>
      <c r="M54" s="3">
        <v>58</v>
      </c>
    </row>
    <row r="55" spans="1:13">
      <c r="A55" s="7" t="s">
        <v>30</v>
      </c>
      <c r="C55" s="2" t="s">
        <v>500</v>
      </c>
      <c r="D55" s="2" t="s">
        <v>201</v>
      </c>
      <c r="E55" s="3">
        <v>5</v>
      </c>
      <c r="F55" s="3">
        <v>24</v>
      </c>
      <c r="G55" s="3">
        <v>100</v>
      </c>
      <c r="H55" s="13">
        <f t="shared" si="0"/>
        <v>112.00000000000001</v>
      </c>
      <c r="J55" s="2" t="s">
        <v>500</v>
      </c>
      <c r="K55" s="2" t="s">
        <v>226</v>
      </c>
      <c r="L55" s="2" t="s">
        <v>501</v>
      </c>
      <c r="M55" s="3">
        <v>68.150000000000006</v>
      </c>
    </row>
    <row r="56" spans="1:13">
      <c r="A56" s="7" t="s">
        <v>31</v>
      </c>
      <c r="C56" s="2" t="s">
        <v>175</v>
      </c>
      <c r="D56" s="2" t="s">
        <v>201</v>
      </c>
      <c r="E56" s="3">
        <v>5</v>
      </c>
      <c r="F56" s="3">
        <v>36</v>
      </c>
      <c r="G56" s="3">
        <v>133.6</v>
      </c>
      <c r="H56" s="13">
        <f t="shared" si="0"/>
        <v>149.63200000000001</v>
      </c>
      <c r="J56" s="2" t="s">
        <v>175</v>
      </c>
      <c r="K56" s="2" t="s">
        <v>226</v>
      </c>
      <c r="L56" s="2" t="s">
        <v>270</v>
      </c>
      <c r="M56" s="3">
        <v>97</v>
      </c>
    </row>
    <row r="57" spans="1:13">
      <c r="A57" s="7" t="s">
        <v>32</v>
      </c>
      <c r="C57" s="2" t="s">
        <v>176</v>
      </c>
      <c r="D57" s="2" t="s">
        <v>201</v>
      </c>
      <c r="E57" s="3">
        <v>5</v>
      </c>
      <c r="F57" s="3">
        <v>40</v>
      </c>
      <c r="G57" s="3">
        <v>133.6</v>
      </c>
      <c r="H57" s="13">
        <f t="shared" si="0"/>
        <v>149.63200000000001</v>
      </c>
      <c r="J57" s="2" t="s">
        <v>176</v>
      </c>
      <c r="K57" s="2" t="s">
        <v>226</v>
      </c>
      <c r="L57" s="2" t="s">
        <v>256</v>
      </c>
      <c r="M57" s="3">
        <v>97</v>
      </c>
    </row>
    <row r="58" spans="1:13">
      <c r="A58" s="7" t="s">
        <v>33</v>
      </c>
      <c r="C58" s="2" t="s">
        <v>177</v>
      </c>
      <c r="D58" s="2" t="s">
        <v>201</v>
      </c>
      <c r="E58" s="3">
        <v>5</v>
      </c>
      <c r="F58" s="3" t="s">
        <v>397</v>
      </c>
      <c r="G58" s="3">
        <v>200</v>
      </c>
      <c r="H58" s="13">
        <f t="shared" si="0"/>
        <v>224.00000000000003</v>
      </c>
      <c r="J58" s="2" t="s">
        <v>177</v>
      </c>
      <c r="K58" s="2" t="s">
        <v>226</v>
      </c>
      <c r="L58" s="2" t="s">
        <v>283</v>
      </c>
      <c r="M58" s="3">
        <v>136.30000000000001</v>
      </c>
    </row>
    <row r="59" spans="1:13">
      <c r="A59" s="7" t="s">
        <v>33</v>
      </c>
      <c r="C59" s="2" t="s">
        <v>177</v>
      </c>
      <c r="D59" s="2" t="s">
        <v>201</v>
      </c>
      <c r="E59" s="3">
        <v>5</v>
      </c>
      <c r="F59" s="3" t="s">
        <v>398</v>
      </c>
      <c r="G59" s="3">
        <v>200</v>
      </c>
      <c r="H59" s="13">
        <f t="shared" si="0"/>
        <v>224.00000000000003</v>
      </c>
      <c r="J59" s="2" t="s">
        <v>177</v>
      </c>
      <c r="K59" s="2" t="s">
        <v>226</v>
      </c>
      <c r="L59" s="2" t="s">
        <v>283</v>
      </c>
      <c r="M59" s="3">
        <v>136.30000000000001</v>
      </c>
    </row>
    <row r="60" spans="1:13">
      <c r="A60" s="7" t="s">
        <v>502</v>
      </c>
      <c r="C60" s="2" t="s">
        <v>177</v>
      </c>
      <c r="D60" s="2" t="s">
        <v>201</v>
      </c>
      <c r="E60" s="3">
        <v>5</v>
      </c>
      <c r="F60" s="3">
        <v>60</v>
      </c>
      <c r="G60" s="3">
        <v>113.33</v>
      </c>
      <c r="H60" s="13">
        <f t="shared" si="0"/>
        <v>126.92960000000001</v>
      </c>
      <c r="J60" s="2" t="s">
        <v>177</v>
      </c>
      <c r="K60" s="2" t="s">
        <v>226</v>
      </c>
      <c r="L60" s="2" t="s">
        <v>503</v>
      </c>
      <c r="M60" s="3">
        <v>80.42</v>
      </c>
    </row>
    <row r="61" spans="1:13">
      <c r="A61" s="7" t="s">
        <v>504</v>
      </c>
      <c r="C61" s="2" t="s">
        <v>505</v>
      </c>
      <c r="D61" s="2" t="s">
        <v>202</v>
      </c>
      <c r="E61" s="3">
        <v>15</v>
      </c>
      <c r="F61" s="3">
        <v>24</v>
      </c>
      <c r="G61" s="3">
        <v>100</v>
      </c>
      <c r="H61" s="13">
        <f t="shared" si="0"/>
        <v>112.00000000000001</v>
      </c>
      <c r="J61" s="2" t="s">
        <v>505</v>
      </c>
      <c r="K61" s="2" t="s">
        <v>227</v>
      </c>
      <c r="L61" s="2" t="s">
        <v>506</v>
      </c>
      <c r="M61" s="3">
        <v>68.150000000000006</v>
      </c>
    </row>
    <row r="62" spans="1:13">
      <c r="A62" s="7" t="s">
        <v>34</v>
      </c>
      <c r="C62" s="2" t="s">
        <v>178</v>
      </c>
      <c r="D62" s="2" t="s">
        <v>202</v>
      </c>
      <c r="E62" s="3">
        <v>15</v>
      </c>
      <c r="F62" s="3">
        <v>36</v>
      </c>
      <c r="G62" s="3">
        <v>133.6</v>
      </c>
      <c r="H62" s="13">
        <f t="shared" si="0"/>
        <v>149.63200000000001</v>
      </c>
      <c r="J62" s="2" t="s">
        <v>178</v>
      </c>
      <c r="K62" s="2" t="s">
        <v>227</v>
      </c>
      <c r="L62" s="2" t="s">
        <v>271</v>
      </c>
      <c r="M62" s="3">
        <v>97</v>
      </c>
    </row>
    <row r="63" spans="1:13">
      <c r="A63" s="7" t="s">
        <v>35</v>
      </c>
      <c r="C63" s="2" t="s">
        <v>179</v>
      </c>
      <c r="D63" s="2" t="s">
        <v>202</v>
      </c>
      <c r="E63" s="3">
        <v>15</v>
      </c>
      <c r="F63" s="3">
        <v>40</v>
      </c>
      <c r="G63" s="3">
        <v>133.6</v>
      </c>
      <c r="H63" s="13">
        <f t="shared" si="0"/>
        <v>149.63200000000001</v>
      </c>
      <c r="J63" s="2" t="s">
        <v>179</v>
      </c>
      <c r="K63" s="2" t="s">
        <v>227</v>
      </c>
      <c r="L63" s="2" t="s">
        <v>257</v>
      </c>
      <c r="M63" s="3">
        <v>97</v>
      </c>
    </row>
    <row r="64" spans="1:13">
      <c r="A64" s="7" t="s">
        <v>36</v>
      </c>
      <c r="C64" s="2" t="s">
        <v>180</v>
      </c>
      <c r="D64" s="2" t="s">
        <v>202</v>
      </c>
      <c r="E64" s="3">
        <v>15</v>
      </c>
      <c r="F64" s="3" t="s">
        <v>397</v>
      </c>
      <c r="G64" s="3">
        <v>200</v>
      </c>
      <c r="H64" s="13">
        <f t="shared" si="0"/>
        <v>224.00000000000003</v>
      </c>
      <c r="J64" s="2" t="s">
        <v>180</v>
      </c>
      <c r="K64" s="2" t="s">
        <v>227</v>
      </c>
      <c r="L64" s="2" t="s">
        <v>284</v>
      </c>
      <c r="M64" s="3">
        <v>136.30000000000001</v>
      </c>
    </row>
    <row r="65" spans="1:13">
      <c r="A65" s="7" t="s">
        <v>36</v>
      </c>
      <c r="C65" s="2" t="s">
        <v>180</v>
      </c>
      <c r="D65" s="2" t="s">
        <v>202</v>
      </c>
      <c r="E65" s="3">
        <v>15</v>
      </c>
      <c r="F65" s="3" t="s">
        <v>398</v>
      </c>
      <c r="G65" s="3">
        <v>200</v>
      </c>
      <c r="H65" s="13">
        <f t="shared" si="0"/>
        <v>224.00000000000003</v>
      </c>
      <c r="J65" s="2" t="s">
        <v>180</v>
      </c>
      <c r="K65" s="2" t="s">
        <v>227</v>
      </c>
      <c r="L65" s="2" t="s">
        <v>284</v>
      </c>
      <c r="M65" s="3">
        <v>136.30000000000001</v>
      </c>
    </row>
    <row r="66" spans="1:13">
      <c r="A66" s="7" t="s">
        <v>514</v>
      </c>
      <c r="C66" s="2" t="s">
        <v>180</v>
      </c>
      <c r="D66" s="2" t="s">
        <v>202</v>
      </c>
      <c r="E66" s="3">
        <v>15</v>
      </c>
      <c r="F66" s="3">
        <v>60</v>
      </c>
      <c r="G66" s="3">
        <v>113.33</v>
      </c>
      <c r="H66" s="13">
        <f t="shared" si="0"/>
        <v>126.92960000000001</v>
      </c>
      <c r="J66" s="2" t="s">
        <v>180</v>
      </c>
      <c r="K66" s="2" t="s">
        <v>227</v>
      </c>
      <c r="L66" s="2" t="s">
        <v>515</v>
      </c>
      <c r="M66" s="3">
        <v>80.42</v>
      </c>
    </row>
    <row r="67" spans="1:13">
      <c r="A67" s="7" t="s">
        <v>37</v>
      </c>
      <c r="C67" s="2" t="s">
        <v>530</v>
      </c>
      <c r="D67" s="2" t="s">
        <v>203</v>
      </c>
      <c r="E67" s="3">
        <v>20</v>
      </c>
      <c r="F67" s="3">
        <v>24</v>
      </c>
      <c r="G67" s="3">
        <v>100</v>
      </c>
      <c r="H67" s="13">
        <f t="shared" si="0"/>
        <v>112.00000000000001</v>
      </c>
      <c r="J67" s="2" t="s">
        <v>530</v>
      </c>
      <c r="K67" s="2" t="s">
        <v>228</v>
      </c>
      <c r="L67" s="2" t="s">
        <v>531</v>
      </c>
      <c r="M67" s="3">
        <v>68.150000000000006</v>
      </c>
    </row>
    <row r="68" spans="1:13">
      <c r="A68" s="7" t="s">
        <v>38</v>
      </c>
      <c r="C68" s="2" t="s">
        <v>181</v>
      </c>
      <c r="D68" s="2" t="s">
        <v>203</v>
      </c>
      <c r="E68" s="3">
        <v>20</v>
      </c>
      <c r="F68" s="3">
        <v>36</v>
      </c>
      <c r="G68" s="3">
        <v>133.6</v>
      </c>
      <c r="H68" s="13">
        <f t="shared" ref="H68:H96" si="1">G68*1.12</f>
        <v>149.63200000000001</v>
      </c>
      <c r="J68" s="2" t="s">
        <v>181</v>
      </c>
      <c r="K68" s="2" t="s">
        <v>228</v>
      </c>
      <c r="L68" s="2" t="s">
        <v>272</v>
      </c>
      <c r="M68" s="3">
        <v>97</v>
      </c>
    </row>
    <row r="69" spans="1:13">
      <c r="A69" s="7" t="s">
        <v>39</v>
      </c>
      <c r="C69" s="2" t="s">
        <v>182</v>
      </c>
      <c r="D69" s="2" t="s">
        <v>203</v>
      </c>
      <c r="E69" s="3">
        <v>20</v>
      </c>
      <c r="F69" s="3">
        <v>40</v>
      </c>
      <c r="G69" s="3">
        <v>133.6</v>
      </c>
      <c r="H69" s="13">
        <f t="shared" si="1"/>
        <v>149.63200000000001</v>
      </c>
      <c r="J69" s="2" t="s">
        <v>182</v>
      </c>
      <c r="K69" s="2" t="s">
        <v>228</v>
      </c>
      <c r="L69" s="2" t="s">
        <v>245</v>
      </c>
      <c r="M69" s="3">
        <v>97</v>
      </c>
    </row>
    <row r="70" spans="1:13">
      <c r="A70" s="7" t="s">
        <v>40</v>
      </c>
      <c r="C70" s="2" t="s">
        <v>183</v>
      </c>
      <c r="D70" s="2" t="s">
        <v>203</v>
      </c>
      <c r="E70" s="3">
        <v>20</v>
      </c>
      <c r="F70" s="3" t="s">
        <v>397</v>
      </c>
      <c r="G70" s="3">
        <v>200</v>
      </c>
      <c r="H70" s="13">
        <f t="shared" si="1"/>
        <v>224.00000000000003</v>
      </c>
      <c r="J70" s="2" t="s">
        <v>183</v>
      </c>
      <c r="K70" s="2" t="s">
        <v>228</v>
      </c>
      <c r="L70" s="2" t="s">
        <v>285</v>
      </c>
      <c r="M70" s="3">
        <v>136.30000000000001</v>
      </c>
    </row>
    <row r="71" spans="1:13">
      <c r="A71" s="7" t="s">
        <v>40</v>
      </c>
      <c r="C71" s="2" t="s">
        <v>183</v>
      </c>
      <c r="D71" s="2" t="s">
        <v>203</v>
      </c>
      <c r="E71" s="3">
        <v>20</v>
      </c>
      <c r="F71" s="3" t="s">
        <v>398</v>
      </c>
      <c r="G71" s="3">
        <v>200</v>
      </c>
      <c r="H71" s="13">
        <f t="shared" si="1"/>
        <v>224.00000000000003</v>
      </c>
      <c r="J71" s="2" t="s">
        <v>183</v>
      </c>
      <c r="K71" s="2" t="s">
        <v>228</v>
      </c>
      <c r="L71" s="2" t="s">
        <v>285</v>
      </c>
      <c r="M71" s="3">
        <v>136.30000000000001</v>
      </c>
    </row>
    <row r="72" spans="1:13">
      <c r="A72" s="7" t="s">
        <v>516</v>
      </c>
      <c r="C72" s="2" t="s">
        <v>183</v>
      </c>
      <c r="D72" s="2" t="s">
        <v>203</v>
      </c>
      <c r="E72" s="3">
        <v>20</v>
      </c>
      <c r="F72" s="3">
        <v>60</v>
      </c>
      <c r="G72" s="3">
        <v>113.33</v>
      </c>
      <c r="H72" s="13">
        <f t="shared" si="1"/>
        <v>126.92960000000001</v>
      </c>
      <c r="J72" s="2" t="s">
        <v>183</v>
      </c>
      <c r="K72" s="2" t="s">
        <v>228</v>
      </c>
      <c r="L72" s="2" t="s">
        <v>517</v>
      </c>
      <c r="M72" s="3">
        <v>80.42</v>
      </c>
    </row>
    <row r="73" spans="1:13">
      <c r="A73" s="7" t="s">
        <v>532</v>
      </c>
      <c r="C73" s="2" t="s">
        <v>533</v>
      </c>
      <c r="D73" s="2" t="s">
        <v>204</v>
      </c>
      <c r="E73" s="3">
        <v>35</v>
      </c>
      <c r="F73" s="3">
        <v>24</v>
      </c>
      <c r="G73" s="3">
        <v>100</v>
      </c>
      <c r="H73" s="13">
        <f t="shared" si="1"/>
        <v>112.00000000000001</v>
      </c>
      <c r="J73" s="2" t="s">
        <v>533</v>
      </c>
      <c r="K73" s="2" t="s">
        <v>229</v>
      </c>
      <c r="L73" s="2" t="s">
        <v>534</v>
      </c>
      <c r="M73" s="3">
        <v>68.150000000000006</v>
      </c>
    </row>
    <row r="74" spans="1:13">
      <c r="A74" s="7" t="s">
        <v>145</v>
      </c>
      <c r="C74" s="2" t="s">
        <v>184</v>
      </c>
      <c r="D74" s="2" t="s">
        <v>204</v>
      </c>
      <c r="E74" s="3">
        <v>35</v>
      </c>
      <c r="F74" s="3">
        <v>36</v>
      </c>
      <c r="G74" s="3">
        <v>133.6</v>
      </c>
      <c r="H74" s="13">
        <f t="shared" si="1"/>
        <v>149.63200000000001</v>
      </c>
      <c r="J74" s="2" t="s">
        <v>184</v>
      </c>
      <c r="K74" s="2" t="s">
        <v>229</v>
      </c>
      <c r="L74" s="2" t="s">
        <v>273</v>
      </c>
      <c r="M74" s="3">
        <v>97</v>
      </c>
    </row>
    <row r="75" spans="1:13">
      <c r="A75" s="7" t="s">
        <v>41</v>
      </c>
      <c r="C75" s="2" t="s">
        <v>193</v>
      </c>
      <c r="D75" s="2" t="s">
        <v>204</v>
      </c>
      <c r="E75" s="3">
        <v>35</v>
      </c>
      <c r="F75" s="3">
        <v>40</v>
      </c>
      <c r="G75" s="3">
        <v>133.6</v>
      </c>
      <c r="H75" s="13">
        <f t="shared" si="1"/>
        <v>149.63200000000001</v>
      </c>
      <c r="J75" s="2" t="s">
        <v>193</v>
      </c>
      <c r="K75" s="2" t="s">
        <v>229</v>
      </c>
      <c r="L75" s="2" t="s">
        <v>258</v>
      </c>
      <c r="M75" s="3">
        <v>97</v>
      </c>
    </row>
    <row r="76" spans="1:13">
      <c r="A76" s="7" t="s">
        <v>42</v>
      </c>
      <c r="C76" s="2" t="s">
        <v>194</v>
      </c>
      <c r="D76" s="2" t="s">
        <v>204</v>
      </c>
      <c r="E76" s="3">
        <v>35</v>
      </c>
      <c r="F76" s="3" t="s">
        <v>397</v>
      </c>
      <c r="G76" s="3">
        <v>200</v>
      </c>
      <c r="H76" s="13">
        <f t="shared" si="1"/>
        <v>224.00000000000003</v>
      </c>
      <c r="J76" s="2" t="s">
        <v>194</v>
      </c>
      <c r="K76" s="2" t="s">
        <v>229</v>
      </c>
      <c r="L76" s="2" t="s">
        <v>286</v>
      </c>
      <c r="M76" s="3">
        <v>136.30000000000001</v>
      </c>
    </row>
    <row r="77" spans="1:13">
      <c r="A77" s="7" t="s">
        <v>42</v>
      </c>
      <c r="C77" s="2" t="s">
        <v>194</v>
      </c>
      <c r="D77" s="2" t="s">
        <v>204</v>
      </c>
      <c r="E77" s="3">
        <v>35</v>
      </c>
      <c r="F77" s="3" t="s">
        <v>398</v>
      </c>
      <c r="G77" s="3">
        <v>200</v>
      </c>
      <c r="H77" s="13">
        <f t="shared" si="1"/>
        <v>224.00000000000003</v>
      </c>
      <c r="J77" s="2" t="s">
        <v>194</v>
      </c>
      <c r="K77" s="2" t="s">
        <v>229</v>
      </c>
      <c r="L77" s="2" t="s">
        <v>286</v>
      </c>
      <c r="M77" s="3">
        <v>136.30000000000001</v>
      </c>
    </row>
    <row r="78" spans="1:13">
      <c r="A78" s="7" t="s">
        <v>518</v>
      </c>
      <c r="C78" s="2" t="s">
        <v>194</v>
      </c>
      <c r="D78" s="2" t="s">
        <v>204</v>
      </c>
      <c r="E78" s="3">
        <v>35</v>
      </c>
      <c r="F78" s="3">
        <v>60</v>
      </c>
      <c r="G78" s="3">
        <v>113.33</v>
      </c>
      <c r="H78" s="13">
        <f t="shared" si="1"/>
        <v>126.92960000000001</v>
      </c>
      <c r="J78" s="2" t="s">
        <v>194</v>
      </c>
      <c r="K78" s="2" t="s">
        <v>229</v>
      </c>
      <c r="L78" s="2" t="s">
        <v>519</v>
      </c>
      <c r="M78" s="3">
        <v>80.42</v>
      </c>
    </row>
    <row r="79" spans="1:13">
      <c r="A79" s="7" t="s">
        <v>535</v>
      </c>
      <c r="C79" s="2" t="s">
        <v>536</v>
      </c>
      <c r="D79" s="2" t="s">
        <v>205</v>
      </c>
      <c r="E79" s="3">
        <v>40</v>
      </c>
      <c r="F79" s="3">
        <v>24</v>
      </c>
      <c r="G79" s="3">
        <v>100</v>
      </c>
      <c r="H79" s="13">
        <f t="shared" si="1"/>
        <v>112.00000000000001</v>
      </c>
      <c r="J79" s="2" t="s">
        <v>536</v>
      </c>
      <c r="K79" s="2" t="s">
        <v>230</v>
      </c>
      <c r="L79" s="2" t="s">
        <v>537</v>
      </c>
      <c r="M79" s="3">
        <v>68.150000000000006</v>
      </c>
    </row>
    <row r="80" spans="1:13">
      <c r="A80" s="7" t="s">
        <v>144</v>
      </c>
      <c r="C80" s="2" t="s">
        <v>195</v>
      </c>
      <c r="D80" s="2" t="s">
        <v>205</v>
      </c>
      <c r="E80" s="3">
        <v>40</v>
      </c>
      <c r="F80" s="3">
        <v>36</v>
      </c>
      <c r="G80" s="3">
        <v>133.6</v>
      </c>
      <c r="H80" s="13">
        <f t="shared" si="1"/>
        <v>149.63200000000001</v>
      </c>
      <c r="J80" s="2" t="s">
        <v>195</v>
      </c>
      <c r="K80" s="2" t="s">
        <v>230</v>
      </c>
      <c r="L80" s="2" t="s">
        <v>274</v>
      </c>
      <c r="M80" s="3">
        <v>97</v>
      </c>
    </row>
    <row r="81" spans="1:13">
      <c r="A81" s="7" t="s">
        <v>43</v>
      </c>
      <c r="C81" s="2" t="s">
        <v>196</v>
      </c>
      <c r="D81" s="2" t="s">
        <v>205</v>
      </c>
      <c r="E81" s="3">
        <v>40</v>
      </c>
      <c r="F81" s="3">
        <v>40</v>
      </c>
      <c r="G81" s="3">
        <v>133.6</v>
      </c>
      <c r="H81" s="13">
        <f t="shared" si="1"/>
        <v>149.63200000000001</v>
      </c>
      <c r="J81" s="2" t="s">
        <v>196</v>
      </c>
      <c r="K81" s="2" t="s">
        <v>230</v>
      </c>
      <c r="L81" s="2" t="s">
        <v>246</v>
      </c>
      <c r="M81" s="3">
        <v>97</v>
      </c>
    </row>
    <row r="82" spans="1:13">
      <c r="A82" s="7" t="s">
        <v>44</v>
      </c>
      <c r="C82" s="2" t="s">
        <v>197</v>
      </c>
      <c r="D82" s="2" t="s">
        <v>205</v>
      </c>
      <c r="E82" s="3">
        <v>40</v>
      </c>
      <c r="F82" s="3" t="s">
        <v>397</v>
      </c>
      <c r="G82" s="3">
        <v>200</v>
      </c>
      <c r="H82" s="13">
        <f t="shared" si="1"/>
        <v>224.00000000000003</v>
      </c>
      <c r="J82" s="2" t="s">
        <v>197</v>
      </c>
      <c r="K82" s="2" t="s">
        <v>230</v>
      </c>
      <c r="L82" s="2" t="s">
        <v>287</v>
      </c>
      <c r="M82" s="3">
        <v>136.30000000000001</v>
      </c>
    </row>
    <row r="83" spans="1:13">
      <c r="A83" s="7" t="s">
        <v>44</v>
      </c>
      <c r="C83" s="2" t="s">
        <v>197</v>
      </c>
      <c r="D83" s="2" t="s">
        <v>205</v>
      </c>
      <c r="E83" s="3">
        <v>40</v>
      </c>
      <c r="F83" s="3" t="s">
        <v>398</v>
      </c>
      <c r="G83" s="3">
        <v>200</v>
      </c>
      <c r="H83" s="13">
        <f t="shared" si="1"/>
        <v>224.00000000000003</v>
      </c>
      <c r="J83" s="2" t="s">
        <v>197</v>
      </c>
      <c r="K83" s="2" t="s">
        <v>230</v>
      </c>
      <c r="L83" s="2" t="s">
        <v>287</v>
      </c>
      <c r="M83" s="3">
        <v>136.30000000000001</v>
      </c>
    </row>
    <row r="84" spans="1:13">
      <c r="A84" s="7" t="s">
        <v>520</v>
      </c>
      <c r="C84" s="2" t="s">
        <v>197</v>
      </c>
      <c r="D84" s="2" t="s">
        <v>205</v>
      </c>
      <c r="E84" s="3">
        <v>40</v>
      </c>
      <c r="F84" s="3">
        <v>60</v>
      </c>
      <c r="G84" s="3">
        <v>113.33</v>
      </c>
      <c r="H84" s="13">
        <f t="shared" si="1"/>
        <v>126.92960000000001</v>
      </c>
      <c r="J84" s="2" t="s">
        <v>197</v>
      </c>
      <c r="K84" s="2" t="s">
        <v>230</v>
      </c>
      <c r="L84" s="2" t="s">
        <v>521</v>
      </c>
      <c r="M84" s="3">
        <v>80.42</v>
      </c>
    </row>
    <row r="85" spans="1:13">
      <c r="A85" s="7" t="s">
        <v>538</v>
      </c>
      <c r="C85" s="2" t="s">
        <v>539</v>
      </c>
      <c r="D85" s="2" t="s">
        <v>206</v>
      </c>
      <c r="E85" s="3">
        <v>50</v>
      </c>
      <c r="F85" s="3">
        <v>24</v>
      </c>
      <c r="G85" s="3">
        <v>100</v>
      </c>
      <c r="H85" s="13">
        <f t="shared" si="1"/>
        <v>112.00000000000001</v>
      </c>
      <c r="J85" s="2" t="s">
        <v>544</v>
      </c>
      <c r="K85" s="2" t="s">
        <v>529</v>
      </c>
      <c r="L85" s="2" t="s">
        <v>540</v>
      </c>
      <c r="M85" s="3">
        <v>70</v>
      </c>
    </row>
    <row r="86" spans="1:13">
      <c r="A86" s="7" t="s">
        <v>45</v>
      </c>
      <c r="C86" s="2" t="s">
        <v>198</v>
      </c>
      <c r="D86" s="2" t="s">
        <v>206</v>
      </c>
      <c r="E86" s="3">
        <v>50</v>
      </c>
      <c r="F86" s="3">
        <v>36</v>
      </c>
      <c r="G86" s="3">
        <v>133.6</v>
      </c>
      <c r="H86" s="13">
        <f t="shared" si="1"/>
        <v>149.63200000000001</v>
      </c>
      <c r="J86" s="2" t="s">
        <v>509</v>
      </c>
      <c r="K86" s="2" t="s">
        <v>529</v>
      </c>
      <c r="L86" s="2" t="s">
        <v>261</v>
      </c>
      <c r="M86" s="3">
        <v>100</v>
      </c>
    </row>
    <row r="87" spans="1:13">
      <c r="A87" s="7" t="s">
        <v>46</v>
      </c>
      <c r="C87" s="2" t="s">
        <v>199</v>
      </c>
      <c r="D87" s="2" t="s">
        <v>206</v>
      </c>
      <c r="E87" s="3">
        <v>50</v>
      </c>
      <c r="F87" s="3">
        <v>40</v>
      </c>
      <c r="G87" s="3">
        <v>133.6</v>
      </c>
      <c r="H87" s="13">
        <f t="shared" si="1"/>
        <v>149.63200000000001</v>
      </c>
      <c r="J87" s="2" t="s">
        <v>510</v>
      </c>
      <c r="K87" s="2" t="s">
        <v>529</v>
      </c>
      <c r="L87" s="2" t="s">
        <v>247</v>
      </c>
      <c r="M87" s="3">
        <v>100</v>
      </c>
    </row>
    <row r="88" spans="1:13">
      <c r="A88" s="7" t="s">
        <v>47</v>
      </c>
      <c r="C88" s="2" t="s">
        <v>200</v>
      </c>
      <c r="D88" s="2" t="s">
        <v>206</v>
      </c>
      <c r="E88" s="3">
        <v>50</v>
      </c>
      <c r="F88" s="3" t="s">
        <v>397</v>
      </c>
      <c r="G88" s="3">
        <v>200</v>
      </c>
      <c r="H88" s="13">
        <f t="shared" si="1"/>
        <v>224.00000000000003</v>
      </c>
      <c r="J88" s="2" t="s">
        <v>511</v>
      </c>
      <c r="K88" s="2" t="s">
        <v>529</v>
      </c>
      <c r="L88" s="2" t="s">
        <v>262</v>
      </c>
      <c r="M88" s="3">
        <v>140</v>
      </c>
    </row>
    <row r="89" spans="1:13">
      <c r="A89" s="7" t="s">
        <v>47</v>
      </c>
      <c r="C89" s="2" t="s">
        <v>200</v>
      </c>
      <c r="D89" s="2" t="s">
        <v>206</v>
      </c>
      <c r="E89" s="3">
        <v>50</v>
      </c>
      <c r="F89" s="3" t="s">
        <v>398</v>
      </c>
      <c r="G89" s="3">
        <v>200</v>
      </c>
      <c r="H89" s="13">
        <f t="shared" si="1"/>
        <v>224.00000000000003</v>
      </c>
      <c r="J89" s="2" t="s">
        <v>511</v>
      </c>
      <c r="K89" s="2" t="s">
        <v>529</v>
      </c>
      <c r="L89" s="2" t="s">
        <v>262</v>
      </c>
      <c r="M89" s="3">
        <v>140</v>
      </c>
    </row>
    <row r="90" spans="1:13">
      <c r="A90" s="7" t="s">
        <v>522</v>
      </c>
      <c r="C90" s="2" t="s">
        <v>200</v>
      </c>
      <c r="D90" s="2" t="s">
        <v>206</v>
      </c>
      <c r="E90" s="3">
        <v>50</v>
      </c>
      <c r="F90" s="3">
        <v>60</v>
      </c>
      <c r="G90" s="3">
        <v>113.33</v>
      </c>
      <c r="H90" s="13">
        <f t="shared" si="1"/>
        <v>126.92960000000001</v>
      </c>
      <c r="J90" s="2" t="s">
        <v>511</v>
      </c>
      <c r="K90" s="2" t="s">
        <v>529</v>
      </c>
      <c r="L90" s="2" t="s">
        <v>523</v>
      </c>
      <c r="M90" s="3">
        <v>82.6</v>
      </c>
    </row>
    <row r="91" spans="1:13">
      <c r="A91" s="7" t="s">
        <v>48</v>
      </c>
      <c r="C91" s="2" t="s">
        <v>541</v>
      </c>
      <c r="D91" s="2" t="s">
        <v>207</v>
      </c>
      <c r="E91" s="3">
        <v>70</v>
      </c>
      <c r="F91" s="3">
        <v>24</v>
      </c>
      <c r="G91" s="3">
        <v>111.5</v>
      </c>
      <c r="H91" s="13">
        <f t="shared" si="1"/>
        <v>124.88000000000001</v>
      </c>
      <c r="J91" s="2" t="s">
        <v>543</v>
      </c>
      <c r="K91" s="2" t="s">
        <v>277</v>
      </c>
      <c r="L91" s="2" t="s">
        <v>542</v>
      </c>
      <c r="M91" s="3">
        <v>82.75</v>
      </c>
    </row>
    <row r="92" spans="1:13">
      <c r="A92" s="7" t="s">
        <v>49</v>
      </c>
      <c r="C92" s="2" t="s">
        <v>208</v>
      </c>
      <c r="D92" s="2" t="s">
        <v>207</v>
      </c>
      <c r="E92" s="3">
        <v>70</v>
      </c>
      <c r="F92" s="3">
        <v>36</v>
      </c>
      <c r="G92" s="3">
        <v>148.6</v>
      </c>
      <c r="H92" s="13">
        <f t="shared" si="1"/>
        <v>166.43200000000002</v>
      </c>
      <c r="J92" s="2" t="s">
        <v>512</v>
      </c>
      <c r="K92" s="2" t="s">
        <v>277</v>
      </c>
      <c r="L92" s="2" t="s">
        <v>263</v>
      </c>
      <c r="M92" s="3">
        <v>118.5</v>
      </c>
    </row>
    <row r="93" spans="1:13">
      <c r="A93" s="7" t="s">
        <v>50</v>
      </c>
      <c r="C93" s="2" t="s">
        <v>209</v>
      </c>
      <c r="D93" s="2" t="s">
        <v>207</v>
      </c>
      <c r="E93" s="3">
        <v>70</v>
      </c>
      <c r="F93" s="3">
        <v>40</v>
      </c>
      <c r="G93" s="3">
        <v>148.6</v>
      </c>
      <c r="H93" s="13">
        <f t="shared" si="1"/>
        <v>166.43200000000002</v>
      </c>
      <c r="J93" s="2" t="s">
        <v>513</v>
      </c>
      <c r="K93" s="2" t="s">
        <v>277</v>
      </c>
      <c r="L93" s="2" t="s">
        <v>248</v>
      </c>
      <c r="M93" s="3">
        <v>118.5</v>
      </c>
    </row>
    <row r="94" spans="1:13">
      <c r="A94" s="7" t="s">
        <v>51</v>
      </c>
      <c r="C94" s="2" t="s">
        <v>524</v>
      </c>
      <c r="D94" s="2" t="s">
        <v>207</v>
      </c>
      <c r="E94" s="3">
        <v>70</v>
      </c>
      <c r="F94" s="3" t="s">
        <v>397</v>
      </c>
      <c r="G94" s="3">
        <v>223</v>
      </c>
      <c r="H94" s="13">
        <f t="shared" si="1"/>
        <v>249.76000000000002</v>
      </c>
      <c r="J94" s="2" t="s">
        <v>528</v>
      </c>
      <c r="K94" s="2" t="s">
        <v>277</v>
      </c>
      <c r="L94" s="2" t="s">
        <v>525</v>
      </c>
      <c r="M94" s="3">
        <v>165</v>
      </c>
    </row>
    <row r="95" spans="1:13">
      <c r="A95" s="7" t="s">
        <v>51</v>
      </c>
      <c r="C95" s="2" t="s">
        <v>524</v>
      </c>
      <c r="D95" s="2" t="s">
        <v>207</v>
      </c>
      <c r="E95" s="3">
        <v>70</v>
      </c>
      <c r="F95" s="3" t="s">
        <v>398</v>
      </c>
      <c r="G95" s="3">
        <v>223</v>
      </c>
      <c r="H95" s="13">
        <f t="shared" si="1"/>
        <v>249.76000000000002</v>
      </c>
      <c r="J95" s="2" t="s">
        <v>528</v>
      </c>
      <c r="K95" s="2" t="s">
        <v>277</v>
      </c>
      <c r="L95" s="2" t="s">
        <v>525</v>
      </c>
      <c r="M95" s="3">
        <v>165</v>
      </c>
    </row>
    <row r="96" spans="1:13" s="8" customFormat="1">
      <c r="A96" s="7" t="s">
        <v>526</v>
      </c>
      <c r="B96" s="11"/>
      <c r="C96" s="2" t="s">
        <v>524</v>
      </c>
      <c r="D96" s="2" t="s">
        <v>207</v>
      </c>
      <c r="E96" s="3">
        <v>70</v>
      </c>
      <c r="F96" s="3">
        <v>60</v>
      </c>
      <c r="G96" s="3">
        <v>126.37</v>
      </c>
      <c r="H96" s="13">
        <f t="shared" si="1"/>
        <v>141.53440000000001</v>
      </c>
      <c r="I96" s="11"/>
      <c r="J96" s="2" t="s">
        <v>528</v>
      </c>
      <c r="K96" s="2" t="s">
        <v>277</v>
      </c>
      <c r="L96" s="2" t="s">
        <v>527</v>
      </c>
      <c r="M96" s="3">
        <v>97.35</v>
      </c>
    </row>
  </sheetData>
  <mergeCells count="2">
    <mergeCell ref="J1:M1"/>
    <mergeCell ref="C1:H1"/>
  </mergeCells>
  <pageMargins left="0.7" right="0.7" top="0.75" bottom="0.75" header="0.1" footer="0.3"/>
  <pageSetup orientation="portrait" verticalDpi="0" r:id="rId1"/>
  <headerFooter>
    <oddHeader>&amp;L&amp;"Arial,Bold"&amp;8 3:42 PM
&amp;"Arial,Bold"&amp;8 11-13-25
&amp;"Arial,Bold"&amp;8 &amp;C&amp;"Arial,Bold"&amp;12 SMP Corporation
&amp;"Arial,Bold"&amp;14 Inventory Stock Status by Item
&amp;"Arial,Bold"&amp;10 November 1 - 13,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3073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3073" r:id="rId4" name="FILTE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8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1" sqref="G51"/>
    </sheetView>
  </sheetViews>
  <sheetFormatPr defaultRowHeight="15"/>
  <cols>
    <col min="1" max="1" width="55.140625" style="4" bestFit="1" customWidth="1"/>
    <col min="2" max="2" width="0.85546875" style="11" customWidth="1"/>
    <col min="3" max="3" width="15.5703125" style="2" bestFit="1" customWidth="1"/>
    <col min="4" max="4" width="28.28515625" style="2" bestFit="1" customWidth="1"/>
    <col min="5" max="5" width="9.140625" style="3"/>
    <col min="6" max="6" width="12.5703125" style="3" bestFit="1" customWidth="1"/>
    <col min="7" max="7" width="9.140625" style="3"/>
    <col min="8" max="8" width="0.85546875" style="11" customWidth="1"/>
    <col min="9" max="9" width="15.5703125" style="2" bestFit="1" customWidth="1"/>
    <col min="10" max="10" width="18" style="2" bestFit="1" customWidth="1"/>
    <col min="11" max="11" width="48.42578125" style="2" bestFit="1" customWidth="1"/>
    <col min="12" max="12" width="10.28515625" style="3" customWidth="1"/>
    <col min="13" max="16384" width="9.140625" style="2"/>
  </cols>
  <sheetData>
    <row r="1" spans="1:12">
      <c r="A1" s="6"/>
      <c r="B1" s="10"/>
      <c r="C1" s="14" t="s">
        <v>219</v>
      </c>
      <c r="D1" s="14"/>
      <c r="E1" s="14"/>
      <c r="F1" s="14"/>
      <c r="G1" s="14"/>
      <c r="H1" s="10"/>
      <c r="I1" s="14" t="s">
        <v>220</v>
      </c>
      <c r="J1" s="14"/>
      <c r="K1" s="14"/>
      <c r="L1" s="14"/>
    </row>
    <row r="2" spans="1:12">
      <c r="A2" s="6" t="s">
        <v>289</v>
      </c>
      <c r="B2" s="10"/>
      <c r="C2" s="1" t="s">
        <v>146</v>
      </c>
      <c r="D2" s="1" t="s">
        <v>147</v>
      </c>
      <c r="E2" s="6" t="s">
        <v>185</v>
      </c>
      <c r="F2" s="6" t="s">
        <v>186</v>
      </c>
      <c r="G2" s="6" t="s">
        <v>187</v>
      </c>
      <c r="H2" s="10"/>
      <c r="I2" s="6" t="s">
        <v>146</v>
      </c>
      <c r="J2" s="6" t="s">
        <v>221</v>
      </c>
      <c r="K2" s="6" t="s">
        <v>147</v>
      </c>
      <c r="L2" s="6" t="s">
        <v>187</v>
      </c>
    </row>
    <row r="3" spans="1:12">
      <c r="A3" s="7" t="s">
        <v>56</v>
      </c>
      <c r="C3" s="2" t="s">
        <v>307</v>
      </c>
      <c r="D3" s="2" t="s">
        <v>567</v>
      </c>
      <c r="E3" s="3">
        <v>5</v>
      </c>
      <c r="F3" s="3">
        <v>40</v>
      </c>
      <c r="G3" s="3">
        <v>352.62</v>
      </c>
      <c r="I3" s="2" t="s">
        <v>307</v>
      </c>
      <c r="J3" s="2" t="s">
        <v>290</v>
      </c>
      <c r="K3" s="2" t="s">
        <v>322</v>
      </c>
      <c r="L3" s="3">
        <v>157.5</v>
      </c>
    </row>
    <row r="4" spans="1:12">
      <c r="A4" s="7" t="s">
        <v>57</v>
      </c>
      <c r="C4" s="2" t="s">
        <v>308</v>
      </c>
      <c r="D4" s="2" t="s">
        <v>567</v>
      </c>
      <c r="E4" s="3">
        <v>5</v>
      </c>
      <c r="F4" s="3" t="s">
        <v>397</v>
      </c>
      <c r="G4" s="3">
        <v>495.95</v>
      </c>
      <c r="I4" s="2" t="s">
        <v>308</v>
      </c>
      <c r="J4" s="2" t="s">
        <v>290</v>
      </c>
      <c r="K4" s="2" t="s">
        <v>336</v>
      </c>
      <c r="L4" s="3">
        <v>226</v>
      </c>
    </row>
    <row r="5" spans="1:12">
      <c r="A5" s="7" t="s">
        <v>58</v>
      </c>
      <c r="C5" s="2" t="s">
        <v>309</v>
      </c>
      <c r="D5" s="2" t="s">
        <v>568</v>
      </c>
      <c r="E5" s="3">
        <v>15</v>
      </c>
      <c r="F5" s="3">
        <v>40</v>
      </c>
      <c r="G5" s="3">
        <v>352.62</v>
      </c>
      <c r="I5" s="2" t="s">
        <v>309</v>
      </c>
      <c r="J5" s="2" t="s">
        <v>291</v>
      </c>
      <c r="K5" s="2" t="s">
        <v>323</v>
      </c>
      <c r="L5" s="3">
        <v>157.5</v>
      </c>
    </row>
    <row r="6" spans="1:12">
      <c r="A6" s="7" t="s">
        <v>59</v>
      </c>
      <c r="C6" s="2" t="s">
        <v>310</v>
      </c>
      <c r="D6" s="2" t="s">
        <v>568</v>
      </c>
      <c r="E6" s="3">
        <v>15</v>
      </c>
      <c r="F6" s="3" t="s">
        <v>397</v>
      </c>
      <c r="G6" s="3">
        <v>495.95</v>
      </c>
      <c r="I6" s="2" t="s">
        <v>310</v>
      </c>
      <c r="J6" s="2" t="s">
        <v>291</v>
      </c>
      <c r="K6" s="2" t="s">
        <v>335</v>
      </c>
      <c r="L6" s="3">
        <v>226</v>
      </c>
    </row>
    <row r="7" spans="1:12">
      <c r="A7" s="7" t="s">
        <v>60</v>
      </c>
      <c r="C7" s="2" t="s">
        <v>311</v>
      </c>
      <c r="D7" s="2" t="s">
        <v>569</v>
      </c>
      <c r="E7" s="3">
        <v>20</v>
      </c>
      <c r="F7" s="3">
        <v>24</v>
      </c>
      <c r="G7" s="3">
        <v>247.98</v>
      </c>
      <c r="I7" s="2" t="s">
        <v>311</v>
      </c>
      <c r="J7" s="2" t="s">
        <v>292</v>
      </c>
      <c r="K7" s="2" t="s">
        <v>325</v>
      </c>
      <c r="L7" s="3">
        <v>113</v>
      </c>
    </row>
    <row r="8" spans="1:12">
      <c r="A8" s="7" t="s">
        <v>61</v>
      </c>
      <c r="C8" s="2" t="s">
        <v>312</v>
      </c>
      <c r="D8" s="2" t="s">
        <v>569</v>
      </c>
      <c r="E8" s="3">
        <v>20</v>
      </c>
      <c r="F8" s="3">
        <v>40</v>
      </c>
      <c r="G8" s="3">
        <v>352.62</v>
      </c>
      <c r="I8" s="2" t="s">
        <v>312</v>
      </c>
      <c r="J8" s="2" t="s">
        <v>292</v>
      </c>
      <c r="K8" s="2" t="s">
        <v>324</v>
      </c>
      <c r="L8" s="3">
        <v>157.5</v>
      </c>
    </row>
    <row r="9" spans="1:12">
      <c r="A9" s="7" t="s">
        <v>62</v>
      </c>
      <c r="C9" s="2" t="s">
        <v>313</v>
      </c>
      <c r="D9" s="2" t="s">
        <v>569</v>
      </c>
      <c r="E9" s="3">
        <v>20</v>
      </c>
      <c r="F9" s="3" t="s">
        <v>397</v>
      </c>
      <c r="G9" s="3">
        <v>495.95</v>
      </c>
      <c r="I9" s="2" t="s">
        <v>313</v>
      </c>
      <c r="J9" s="2" t="s">
        <v>292</v>
      </c>
      <c r="K9" s="2" t="s">
        <v>326</v>
      </c>
      <c r="L9" s="3">
        <v>226</v>
      </c>
    </row>
    <row r="10" spans="1:12">
      <c r="A10" s="7" t="s">
        <v>63</v>
      </c>
      <c r="C10" s="2" t="s">
        <v>314</v>
      </c>
      <c r="D10" s="2" t="s">
        <v>570</v>
      </c>
      <c r="E10" s="3">
        <v>35</v>
      </c>
      <c r="F10" s="3">
        <v>40</v>
      </c>
      <c r="G10" s="3">
        <v>352.62</v>
      </c>
      <c r="I10" s="2" t="s">
        <v>314</v>
      </c>
      <c r="J10" s="2" t="s">
        <v>293</v>
      </c>
      <c r="K10" s="2" t="s">
        <v>327</v>
      </c>
      <c r="L10" s="3">
        <v>157.5</v>
      </c>
    </row>
    <row r="11" spans="1:12">
      <c r="A11" s="7" t="s">
        <v>64</v>
      </c>
      <c r="C11" s="2" t="s">
        <v>315</v>
      </c>
      <c r="D11" s="2" t="s">
        <v>570</v>
      </c>
      <c r="E11" s="3">
        <v>35</v>
      </c>
      <c r="F11" s="3" t="s">
        <v>397</v>
      </c>
      <c r="G11" s="3">
        <v>495.95</v>
      </c>
      <c r="I11" s="2" t="s">
        <v>315</v>
      </c>
      <c r="J11" s="2" t="s">
        <v>293</v>
      </c>
      <c r="K11" s="2" t="s">
        <v>328</v>
      </c>
      <c r="L11" s="3">
        <v>226</v>
      </c>
    </row>
    <row r="12" spans="1:12">
      <c r="A12" s="7" t="s">
        <v>65</v>
      </c>
      <c r="C12" s="2" t="s">
        <v>316</v>
      </c>
      <c r="D12" s="2" t="s">
        <v>571</v>
      </c>
      <c r="E12" s="3">
        <v>40</v>
      </c>
      <c r="F12" s="3">
        <v>40</v>
      </c>
      <c r="G12" s="3">
        <v>352.62</v>
      </c>
      <c r="I12" s="2" t="s">
        <v>316</v>
      </c>
      <c r="J12" s="2" t="s">
        <v>294</v>
      </c>
      <c r="K12" s="2" t="s">
        <v>329</v>
      </c>
      <c r="L12" s="3">
        <v>157.5</v>
      </c>
    </row>
    <row r="13" spans="1:12">
      <c r="A13" s="7" t="s">
        <v>66</v>
      </c>
      <c r="C13" s="2" t="s">
        <v>317</v>
      </c>
      <c r="D13" s="2" t="s">
        <v>571</v>
      </c>
      <c r="E13" s="3">
        <v>40</v>
      </c>
      <c r="F13" s="3" t="s">
        <v>397</v>
      </c>
      <c r="G13" s="3">
        <v>495.95</v>
      </c>
      <c r="I13" s="2" t="s">
        <v>317</v>
      </c>
      <c r="J13" s="2" t="s">
        <v>294</v>
      </c>
      <c r="K13" s="2" t="s">
        <v>330</v>
      </c>
      <c r="L13" s="3">
        <v>226</v>
      </c>
    </row>
    <row r="14" spans="1:12">
      <c r="A14" s="7" t="s">
        <v>67</v>
      </c>
      <c r="C14" s="2" t="s">
        <v>318</v>
      </c>
      <c r="D14" s="2" t="s">
        <v>572</v>
      </c>
      <c r="E14" s="3">
        <v>50</v>
      </c>
      <c r="F14" s="3">
        <v>40</v>
      </c>
      <c r="G14" s="3">
        <v>374.42</v>
      </c>
      <c r="I14" s="2" t="s">
        <v>318</v>
      </c>
      <c r="J14" s="2" t="s">
        <v>295</v>
      </c>
      <c r="K14" s="2" t="s">
        <v>331</v>
      </c>
      <c r="L14" s="3">
        <v>166.5</v>
      </c>
    </row>
    <row r="15" spans="1:12">
      <c r="A15" s="7" t="s">
        <v>68</v>
      </c>
      <c r="C15" s="2" t="s">
        <v>319</v>
      </c>
      <c r="D15" s="2" t="s">
        <v>572</v>
      </c>
      <c r="E15" s="3">
        <v>50</v>
      </c>
      <c r="F15" s="3" t="s">
        <v>397</v>
      </c>
      <c r="I15" s="2" t="s">
        <v>319</v>
      </c>
      <c r="J15" s="2" t="s">
        <v>295</v>
      </c>
      <c r="K15" s="2" t="s">
        <v>332</v>
      </c>
    </row>
    <row r="16" spans="1:12">
      <c r="A16" s="7" t="s">
        <v>69</v>
      </c>
      <c r="C16" s="2" t="s">
        <v>320</v>
      </c>
      <c r="D16" s="2" t="s">
        <v>573</v>
      </c>
      <c r="E16" s="3">
        <v>70</v>
      </c>
      <c r="F16" s="3">
        <v>40</v>
      </c>
      <c r="G16" s="3">
        <v>374.42</v>
      </c>
      <c r="I16" s="2" t="s">
        <v>320</v>
      </c>
      <c r="J16" s="2" t="s">
        <v>296</v>
      </c>
      <c r="K16" s="2" t="s">
        <v>333</v>
      </c>
      <c r="L16" s="3">
        <v>166.5</v>
      </c>
    </row>
    <row r="17" spans="1:12">
      <c r="A17" s="7" t="s">
        <v>70</v>
      </c>
      <c r="C17" s="2" t="s">
        <v>321</v>
      </c>
      <c r="D17" s="2" t="s">
        <v>573</v>
      </c>
      <c r="E17" s="3">
        <v>70</v>
      </c>
      <c r="F17" s="3" t="s">
        <v>397</v>
      </c>
      <c r="I17" s="2" t="s">
        <v>321</v>
      </c>
      <c r="J17" s="2" t="s">
        <v>296</v>
      </c>
      <c r="K17" s="2" t="s">
        <v>334</v>
      </c>
    </row>
    <row r="18" spans="1:12">
      <c r="A18" s="7" t="s">
        <v>545</v>
      </c>
      <c r="C18" s="7" t="s">
        <v>546</v>
      </c>
      <c r="D18" s="2" t="s">
        <v>559</v>
      </c>
      <c r="E18" s="3">
        <v>2</v>
      </c>
      <c r="F18" s="3">
        <v>12</v>
      </c>
      <c r="I18" s="7" t="s">
        <v>546</v>
      </c>
      <c r="J18" s="2" t="s">
        <v>337</v>
      </c>
      <c r="K18" s="7" t="s">
        <v>547</v>
      </c>
    </row>
    <row r="19" spans="1:12">
      <c r="A19" s="7" t="s">
        <v>548</v>
      </c>
      <c r="C19" s="7" t="s">
        <v>549</v>
      </c>
      <c r="D19" s="2" t="s">
        <v>559</v>
      </c>
      <c r="E19" s="3">
        <v>2</v>
      </c>
      <c r="F19" s="3">
        <v>24</v>
      </c>
      <c r="I19" s="7" t="s">
        <v>549</v>
      </c>
      <c r="J19" s="2" t="s">
        <v>337</v>
      </c>
      <c r="K19" s="7" t="s">
        <v>550</v>
      </c>
    </row>
    <row r="20" spans="1:12">
      <c r="A20" s="7" t="s">
        <v>79</v>
      </c>
      <c r="C20" s="7" t="s">
        <v>371</v>
      </c>
      <c r="D20" s="2" t="s">
        <v>559</v>
      </c>
      <c r="E20" s="3">
        <v>2</v>
      </c>
      <c r="F20" s="3">
        <v>36</v>
      </c>
      <c r="I20" s="7" t="s">
        <v>371</v>
      </c>
      <c r="J20" s="2" t="s">
        <v>337</v>
      </c>
      <c r="K20" s="7" t="s">
        <v>345</v>
      </c>
      <c r="L20" s="3">
        <v>82</v>
      </c>
    </row>
    <row r="21" spans="1:12">
      <c r="A21" s="7" t="s">
        <v>80</v>
      </c>
      <c r="C21" s="7" t="s">
        <v>372</v>
      </c>
      <c r="D21" s="2" t="s">
        <v>559</v>
      </c>
      <c r="E21" s="3">
        <v>2</v>
      </c>
      <c r="F21" s="3">
        <v>40</v>
      </c>
      <c r="I21" s="7" t="s">
        <v>372</v>
      </c>
      <c r="J21" s="2" t="s">
        <v>337</v>
      </c>
      <c r="K21" s="7" t="s">
        <v>346</v>
      </c>
      <c r="L21" s="3">
        <v>82</v>
      </c>
    </row>
    <row r="22" spans="1:12">
      <c r="A22" s="7" t="s">
        <v>81</v>
      </c>
      <c r="C22" s="7" t="s">
        <v>373</v>
      </c>
      <c r="D22" s="2" t="s">
        <v>559</v>
      </c>
      <c r="E22" s="3">
        <v>2</v>
      </c>
      <c r="F22" s="3">
        <v>60</v>
      </c>
      <c r="I22" s="7" t="s">
        <v>373</v>
      </c>
      <c r="J22" s="2" t="s">
        <v>337</v>
      </c>
      <c r="K22" s="7" t="s">
        <v>347</v>
      </c>
      <c r="L22" s="3">
        <v>114</v>
      </c>
    </row>
    <row r="23" spans="1:12">
      <c r="A23" s="7" t="s">
        <v>82</v>
      </c>
      <c r="C23" s="7" t="s">
        <v>375</v>
      </c>
      <c r="D23" s="2" t="s">
        <v>560</v>
      </c>
      <c r="E23" s="3">
        <v>5</v>
      </c>
      <c r="F23" s="3">
        <v>12</v>
      </c>
      <c r="I23" s="7" t="s">
        <v>375</v>
      </c>
      <c r="J23" s="2" t="s">
        <v>338</v>
      </c>
      <c r="K23" s="7" t="s">
        <v>348</v>
      </c>
    </row>
    <row r="24" spans="1:12">
      <c r="A24" s="7" t="s">
        <v>83</v>
      </c>
      <c r="C24" s="7" t="s">
        <v>374</v>
      </c>
      <c r="D24" s="2" t="s">
        <v>560</v>
      </c>
      <c r="E24" s="3">
        <v>5</v>
      </c>
      <c r="F24" s="3">
        <v>24</v>
      </c>
      <c r="I24" s="7" t="s">
        <v>374</v>
      </c>
      <c r="J24" s="2" t="s">
        <v>338</v>
      </c>
      <c r="K24" s="7" t="s">
        <v>349</v>
      </c>
      <c r="L24" s="3">
        <v>52.5</v>
      </c>
    </row>
    <row r="25" spans="1:12">
      <c r="A25" s="7" t="s">
        <v>84</v>
      </c>
      <c r="C25" s="7" t="s">
        <v>376</v>
      </c>
      <c r="D25" s="2" t="s">
        <v>560</v>
      </c>
      <c r="E25" s="3">
        <v>5</v>
      </c>
      <c r="F25" s="3">
        <v>36</v>
      </c>
      <c r="I25" s="7" t="s">
        <v>376</v>
      </c>
      <c r="J25" s="2" t="s">
        <v>338</v>
      </c>
      <c r="K25" s="7" t="s">
        <v>350</v>
      </c>
      <c r="L25" s="3">
        <v>74</v>
      </c>
    </row>
    <row r="26" spans="1:12">
      <c r="A26" s="7" t="s">
        <v>85</v>
      </c>
      <c r="C26" s="7" t="s">
        <v>377</v>
      </c>
      <c r="D26" s="2" t="s">
        <v>560</v>
      </c>
      <c r="E26" s="3">
        <v>5</v>
      </c>
      <c r="F26" s="3">
        <v>40</v>
      </c>
      <c r="G26" s="3">
        <v>134.62</v>
      </c>
      <c r="I26" s="7" t="s">
        <v>377</v>
      </c>
      <c r="J26" s="2" t="s">
        <v>338</v>
      </c>
      <c r="K26" s="7" t="s">
        <v>351</v>
      </c>
      <c r="L26" s="3">
        <v>74</v>
      </c>
    </row>
    <row r="27" spans="1:12">
      <c r="A27" s="7" t="s">
        <v>86</v>
      </c>
      <c r="C27" s="7" t="s">
        <v>378</v>
      </c>
      <c r="D27" s="2" t="s">
        <v>560</v>
      </c>
      <c r="E27" s="3">
        <v>5</v>
      </c>
      <c r="F27" s="3" t="s">
        <v>397</v>
      </c>
      <c r="G27" s="3">
        <v>196.2</v>
      </c>
      <c r="I27" s="7" t="s">
        <v>378</v>
      </c>
      <c r="J27" s="2" t="s">
        <v>338</v>
      </c>
      <c r="K27" s="7" t="s">
        <v>352</v>
      </c>
      <c r="L27" s="3">
        <v>105</v>
      </c>
    </row>
    <row r="28" spans="1:12">
      <c r="A28" s="7" t="s">
        <v>86</v>
      </c>
      <c r="C28" s="7" t="s">
        <v>378</v>
      </c>
      <c r="D28" s="2" t="s">
        <v>560</v>
      </c>
      <c r="E28" s="3">
        <v>5</v>
      </c>
      <c r="F28" s="3" t="s">
        <v>398</v>
      </c>
      <c r="G28" s="3">
        <v>196.2</v>
      </c>
      <c r="I28" s="7" t="s">
        <v>378</v>
      </c>
      <c r="J28" s="2" t="s">
        <v>338</v>
      </c>
      <c r="K28" s="7" t="s">
        <v>352</v>
      </c>
      <c r="L28" s="3">
        <v>105</v>
      </c>
    </row>
    <row r="29" spans="1:12">
      <c r="A29" s="7" t="s">
        <v>86</v>
      </c>
      <c r="C29" s="7" t="s">
        <v>378</v>
      </c>
      <c r="D29" s="2" t="s">
        <v>560</v>
      </c>
      <c r="E29" s="3">
        <v>5</v>
      </c>
      <c r="F29" s="3" t="s">
        <v>399</v>
      </c>
      <c r="I29" s="7" t="s">
        <v>378</v>
      </c>
      <c r="J29" s="2" t="s">
        <v>338</v>
      </c>
      <c r="K29" s="7" t="s">
        <v>352</v>
      </c>
      <c r="L29" s="3">
        <v>109</v>
      </c>
    </row>
    <row r="30" spans="1:12">
      <c r="A30" s="7" t="s">
        <v>86</v>
      </c>
      <c r="C30" s="7" t="s">
        <v>378</v>
      </c>
      <c r="D30" s="2" t="s">
        <v>560</v>
      </c>
      <c r="E30" s="3">
        <v>5</v>
      </c>
      <c r="F30" s="3" t="s">
        <v>400</v>
      </c>
      <c r="I30" s="7" t="s">
        <v>378</v>
      </c>
      <c r="J30" s="2" t="s">
        <v>338</v>
      </c>
      <c r="K30" s="7" t="s">
        <v>352</v>
      </c>
      <c r="L30" s="3">
        <v>109</v>
      </c>
    </row>
    <row r="31" spans="1:12">
      <c r="A31" s="7" t="s">
        <v>86</v>
      </c>
      <c r="C31" s="7" t="s">
        <v>378</v>
      </c>
      <c r="D31" s="2" t="s">
        <v>560</v>
      </c>
      <c r="E31" s="3">
        <v>5</v>
      </c>
      <c r="F31" s="3" t="s">
        <v>401</v>
      </c>
      <c r="I31" s="7" t="s">
        <v>378</v>
      </c>
      <c r="J31" s="2" t="s">
        <v>338</v>
      </c>
      <c r="K31" s="7" t="s">
        <v>352</v>
      </c>
    </row>
    <row r="32" spans="1:12">
      <c r="A32" s="7" t="s">
        <v>87</v>
      </c>
      <c r="C32" s="7" t="s">
        <v>391</v>
      </c>
      <c r="D32" s="2" t="s">
        <v>561</v>
      </c>
      <c r="E32" s="3">
        <v>15</v>
      </c>
      <c r="F32" s="3">
        <v>24</v>
      </c>
      <c r="I32" s="7" t="s">
        <v>391</v>
      </c>
      <c r="J32" s="2" t="s">
        <v>339</v>
      </c>
      <c r="K32" s="7" t="s">
        <v>353</v>
      </c>
      <c r="L32" s="3">
        <v>52.5</v>
      </c>
    </row>
    <row r="33" spans="1:12">
      <c r="A33" s="7" t="s">
        <v>88</v>
      </c>
      <c r="C33" s="7" t="s">
        <v>392</v>
      </c>
      <c r="D33" s="2" t="s">
        <v>561</v>
      </c>
      <c r="E33" s="3">
        <v>15</v>
      </c>
      <c r="F33" s="3">
        <v>36</v>
      </c>
      <c r="I33" s="7" t="s">
        <v>392</v>
      </c>
      <c r="J33" s="2" t="s">
        <v>339</v>
      </c>
      <c r="K33" s="7" t="s">
        <v>354</v>
      </c>
      <c r="L33" s="3">
        <v>74</v>
      </c>
    </row>
    <row r="34" spans="1:12">
      <c r="A34" s="7" t="s">
        <v>89</v>
      </c>
      <c r="C34" s="7" t="s">
        <v>379</v>
      </c>
      <c r="D34" s="2" t="s">
        <v>561</v>
      </c>
      <c r="E34" s="3">
        <v>15</v>
      </c>
      <c r="F34" s="3">
        <v>40</v>
      </c>
      <c r="I34" s="7" t="s">
        <v>379</v>
      </c>
      <c r="J34" s="2" t="s">
        <v>339</v>
      </c>
      <c r="K34" s="7" t="s">
        <v>355</v>
      </c>
      <c r="L34" s="3">
        <v>74</v>
      </c>
    </row>
    <row r="35" spans="1:12">
      <c r="A35" s="7" t="s">
        <v>90</v>
      </c>
      <c r="C35" s="7" t="s">
        <v>380</v>
      </c>
      <c r="D35" s="2" t="s">
        <v>561</v>
      </c>
      <c r="E35" s="3">
        <v>15</v>
      </c>
      <c r="F35" s="3" t="s">
        <v>397</v>
      </c>
      <c r="I35" s="7" t="s">
        <v>380</v>
      </c>
      <c r="J35" s="2" t="s">
        <v>339</v>
      </c>
      <c r="K35" s="7" t="s">
        <v>356</v>
      </c>
      <c r="L35" s="3">
        <v>105</v>
      </c>
    </row>
    <row r="36" spans="1:12">
      <c r="A36" s="7" t="s">
        <v>91</v>
      </c>
      <c r="C36" s="7" t="s">
        <v>393</v>
      </c>
      <c r="D36" s="2" t="s">
        <v>562</v>
      </c>
      <c r="E36" s="3">
        <v>20</v>
      </c>
      <c r="F36" s="3">
        <v>24</v>
      </c>
      <c r="I36" s="7" t="s">
        <v>393</v>
      </c>
      <c r="J36" s="2" t="s">
        <v>340</v>
      </c>
      <c r="K36" s="7" t="s">
        <v>357</v>
      </c>
      <c r="L36" s="3">
        <v>52.5</v>
      </c>
    </row>
    <row r="37" spans="1:12">
      <c r="A37" s="7" t="s">
        <v>92</v>
      </c>
      <c r="C37" s="7" t="s">
        <v>394</v>
      </c>
      <c r="D37" s="2" t="s">
        <v>562</v>
      </c>
      <c r="E37" s="3">
        <v>20</v>
      </c>
      <c r="F37" s="3">
        <v>36</v>
      </c>
      <c r="I37" s="7" t="s">
        <v>394</v>
      </c>
      <c r="J37" s="2" t="s">
        <v>340</v>
      </c>
      <c r="K37" s="7" t="s">
        <v>358</v>
      </c>
      <c r="L37" s="3">
        <v>74</v>
      </c>
    </row>
    <row r="38" spans="1:12">
      <c r="A38" s="7" t="s">
        <v>93</v>
      </c>
      <c r="C38" s="7" t="s">
        <v>381</v>
      </c>
      <c r="D38" s="2" t="s">
        <v>562</v>
      </c>
      <c r="E38" s="3">
        <v>20</v>
      </c>
      <c r="F38" s="3">
        <v>40</v>
      </c>
      <c r="I38" s="7" t="s">
        <v>381</v>
      </c>
      <c r="J38" s="2" t="s">
        <v>340</v>
      </c>
      <c r="K38" s="7" t="s">
        <v>359</v>
      </c>
      <c r="L38" s="3">
        <v>74</v>
      </c>
    </row>
    <row r="39" spans="1:12">
      <c r="A39" s="7" t="s">
        <v>94</v>
      </c>
      <c r="C39" s="7" t="s">
        <v>382</v>
      </c>
      <c r="D39" s="2" t="s">
        <v>562</v>
      </c>
      <c r="E39" s="3">
        <v>20</v>
      </c>
      <c r="F39" s="3" t="s">
        <v>397</v>
      </c>
      <c r="I39" s="7" t="s">
        <v>382</v>
      </c>
      <c r="J39" s="2" t="s">
        <v>340</v>
      </c>
      <c r="K39" s="7" t="s">
        <v>360</v>
      </c>
      <c r="L39" s="3">
        <v>105</v>
      </c>
    </row>
    <row r="40" spans="1:12">
      <c r="A40" s="7" t="s">
        <v>95</v>
      </c>
      <c r="C40" s="7" t="s">
        <v>383</v>
      </c>
      <c r="D40" s="2" t="s">
        <v>563</v>
      </c>
      <c r="E40" s="3">
        <v>30</v>
      </c>
      <c r="F40" s="3">
        <v>40</v>
      </c>
      <c r="I40" s="7" t="s">
        <v>383</v>
      </c>
      <c r="J40" s="2" t="s">
        <v>341</v>
      </c>
      <c r="K40" s="7" t="s">
        <v>361</v>
      </c>
      <c r="L40" s="3">
        <v>74</v>
      </c>
    </row>
    <row r="41" spans="1:12">
      <c r="A41" s="7" t="s">
        <v>96</v>
      </c>
      <c r="C41" s="7" t="s">
        <v>384</v>
      </c>
      <c r="D41" s="2" t="s">
        <v>563</v>
      </c>
      <c r="E41" s="3">
        <v>30</v>
      </c>
      <c r="F41" s="3" t="s">
        <v>397</v>
      </c>
      <c r="I41" s="7" t="s">
        <v>384</v>
      </c>
      <c r="J41" s="2" t="s">
        <v>341</v>
      </c>
      <c r="K41" s="7" t="s">
        <v>362</v>
      </c>
      <c r="L41" s="3">
        <v>105</v>
      </c>
    </row>
    <row r="42" spans="1:12">
      <c r="A42" s="7" t="s">
        <v>97</v>
      </c>
      <c r="C42" s="7" t="s">
        <v>395</v>
      </c>
      <c r="D42" s="2" t="s">
        <v>564</v>
      </c>
      <c r="E42" s="3">
        <v>35</v>
      </c>
      <c r="F42" s="3">
        <v>36</v>
      </c>
      <c r="I42" s="7" t="s">
        <v>395</v>
      </c>
      <c r="J42" s="2" t="s">
        <v>342</v>
      </c>
      <c r="K42" s="7" t="s">
        <v>363</v>
      </c>
      <c r="L42" s="3">
        <v>74</v>
      </c>
    </row>
    <row r="43" spans="1:12">
      <c r="A43" s="7" t="s">
        <v>98</v>
      </c>
      <c r="C43" s="7" t="s">
        <v>385</v>
      </c>
      <c r="D43" s="2" t="s">
        <v>564</v>
      </c>
      <c r="E43" s="3">
        <v>35</v>
      </c>
      <c r="F43" s="3">
        <v>40</v>
      </c>
      <c r="I43" s="7" t="s">
        <v>385</v>
      </c>
      <c r="J43" s="2" t="s">
        <v>342</v>
      </c>
      <c r="K43" s="7" t="s">
        <v>364</v>
      </c>
      <c r="L43" s="3">
        <v>74</v>
      </c>
    </row>
    <row r="44" spans="1:12">
      <c r="A44" s="7" t="s">
        <v>99</v>
      </c>
      <c r="C44" s="7" t="s">
        <v>386</v>
      </c>
      <c r="D44" s="2" t="s">
        <v>564</v>
      </c>
      <c r="E44" s="3">
        <v>35</v>
      </c>
      <c r="F44" s="3" t="s">
        <v>397</v>
      </c>
      <c r="I44" s="7" t="s">
        <v>386</v>
      </c>
      <c r="J44" s="2" t="s">
        <v>342</v>
      </c>
      <c r="K44" s="7" t="s">
        <v>365</v>
      </c>
      <c r="L44" s="3">
        <v>105</v>
      </c>
    </row>
    <row r="45" spans="1:12">
      <c r="A45" s="7" t="s">
        <v>100</v>
      </c>
      <c r="C45" s="7" t="s">
        <v>387</v>
      </c>
      <c r="D45" s="2" t="s">
        <v>565</v>
      </c>
      <c r="E45" s="3">
        <v>40</v>
      </c>
      <c r="F45" s="3">
        <v>40</v>
      </c>
      <c r="I45" s="7" t="s">
        <v>387</v>
      </c>
      <c r="J45" s="2" t="s">
        <v>343</v>
      </c>
      <c r="K45" s="7" t="s">
        <v>366</v>
      </c>
      <c r="L45" s="3">
        <v>74</v>
      </c>
    </row>
    <row r="46" spans="1:12">
      <c r="A46" s="7" t="s">
        <v>101</v>
      </c>
      <c r="C46" s="7" t="s">
        <v>388</v>
      </c>
      <c r="D46" s="2" t="s">
        <v>565</v>
      </c>
      <c r="E46" s="3">
        <v>40</v>
      </c>
      <c r="F46" s="3" t="s">
        <v>397</v>
      </c>
      <c r="I46" s="7" t="s">
        <v>388</v>
      </c>
      <c r="J46" s="2" t="s">
        <v>343</v>
      </c>
      <c r="K46" s="7" t="s">
        <v>367</v>
      </c>
      <c r="L46" s="3">
        <v>105</v>
      </c>
    </row>
    <row r="47" spans="1:12">
      <c r="A47" s="7" t="s">
        <v>102</v>
      </c>
      <c r="C47" s="7" t="s">
        <v>396</v>
      </c>
      <c r="D47" s="2" t="s">
        <v>566</v>
      </c>
      <c r="E47" s="3">
        <v>50</v>
      </c>
      <c r="F47" s="3">
        <v>36</v>
      </c>
      <c r="I47" s="7" t="s">
        <v>396</v>
      </c>
      <c r="J47" s="2" t="s">
        <v>344</v>
      </c>
      <c r="K47" s="7" t="s">
        <v>368</v>
      </c>
      <c r="L47" s="3">
        <v>74</v>
      </c>
    </row>
    <row r="48" spans="1:12">
      <c r="A48" s="7" t="s">
        <v>103</v>
      </c>
      <c r="C48" s="7" t="s">
        <v>389</v>
      </c>
      <c r="D48" s="2" t="s">
        <v>566</v>
      </c>
      <c r="E48" s="3">
        <v>50</v>
      </c>
      <c r="F48" s="3">
        <v>40</v>
      </c>
      <c r="I48" s="7" t="s">
        <v>389</v>
      </c>
      <c r="J48" s="2" t="s">
        <v>344</v>
      </c>
      <c r="K48" s="7" t="s">
        <v>369</v>
      </c>
      <c r="L48" s="3">
        <v>74</v>
      </c>
    </row>
    <row r="49" spans="1:12">
      <c r="A49" s="7" t="s">
        <v>104</v>
      </c>
      <c r="C49" s="7" t="s">
        <v>390</v>
      </c>
      <c r="D49" s="2" t="s">
        <v>566</v>
      </c>
      <c r="E49" s="3">
        <v>50</v>
      </c>
      <c r="F49" s="3" t="s">
        <v>397</v>
      </c>
      <c r="I49" s="7" t="s">
        <v>390</v>
      </c>
      <c r="J49" s="2" t="s">
        <v>344</v>
      </c>
      <c r="K49" s="7" t="s">
        <v>370</v>
      </c>
      <c r="L49" s="3">
        <v>105</v>
      </c>
    </row>
    <row r="50" spans="1:12">
      <c r="A50" s="7" t="s">
        <v>105</v>
      </c>
      <c r="C50" s="7" t="s">
        <v>402</v>
      </c>
      <c r="D50" s="2" t="s">
        <v>551</v>
      </c>
      <c r="E50" s="3">
        <v>2</v>
      </c>
      <c r="F50" s="3">
        <v>40</v>
      </c>
      <c r="I50" s="7" t="s">
        <v>402</v>
      </c>
      <c r="J50" s="2" t="s">
        <v>442</v>
      </c>
      <c r="K50" s="7" t="s">
        <v>423</v>
      </c>
    </row>
    <row r="51" spans="1:12">
      <c r="A51" s="7" t="s">
        <v>106</v>
      </c>
      <c r="C51" s="7" t="s">
        <v>403</v>
      </c>
      <c r="D51" s="2" t="s">
        <v>551</v>
      </c>
      <c r="E51" s="3">
        <v>2</v>
      </c>
      <c r="F51" s="3" t="s">
        <v>397</v>
      </c>
      <c r="I51" s="7" t="s">
        <v>403</v>
      </c>
      <c r="J51" s="2" t="s">
        <v>442</v>
      </c>
      <c r="K51" s="7" t="s">
        <v>424</v>
      </c>
    </row>
    <row r="52" spans="1:12">
      <c r="A52" s="7" t="s">
        <v>107</v>
      </c>
      <c r="C52" s="7" t="s">
        <v>404</v>
      </c>
      <c r="D52" s="2" t="s">
        <v>552</v>
      </c>
      <c r="E52" s="3">
        <v>5</v>
      </c>
      <c r="F52" s="3">
        <v>24</v>
      </c>
      <c r="I52" s="7" t="s">
        <v>404</v>
      </c>
      <c r="J52" s="2" t="s">
        <v>448</v>
      </c>
      <c r="K52" s="7" t="s">
        <v>425</v>
      </c>
      <c r="L52" s="3">
        <f>141.3/2</f>
        <v>70.650000000000006</v>
      </c>
    </row>
    <row r="53" spans="1:12">
      <c r="A53" s="7" t="s">
        <v>108</v>
      </c>
      <c r="C53" s="7" t="s">
        <v>405</v>
      </c>
      <c r="D53" s="2" t="s">
        <v>552</v>
      </c>
      <c r="E53" s="3">
        <v>5</v>
      </c>
      <c r="F53" s="3">
        <v>40</v>
      </c>
      <c r="I53" s="7" t="s">
        <v>405</v>
      </c>
      <c r="J53" s="2" t="s">
        <v>448</v>
      </c>
      <c r="K53" s="7" t="s">
        <v>426</v>
      </c>
      <c r="L53" s="3">
        <v>100.5</v>
      </c>
    </row>
    <row r="54" spans="1:12">
      <c r="A54" s="7" t="s">
        <v>109</v>
      </c>
      <c r="C54" s="7" t="s">
        <v>406</v>
      </c>
      <c r="D54" s="2" t="s">
        <v>552</v>
      </c>
      <c r="E54" s="3">
        <v>5</v>
      </c>
      <c r="F54" s="3" t="s">
        <v>397</v>
      </c>
      <c r="I54" s="7" t="s">
        <v>406</v>
      </c>
      <c r="J54" s="2" t="s">
        <v>448</v>
      </c>
      <c r="K54" s="7" t="s">
        <v>427</v>
      </c>
      <c r="L54" s="3">
        <v>141.30000000000001</v>
      </c>
    </row>
    <row r="55" spans="1:12">
      <c r="A55" s="7" t="s">
        <v>110</v>
      </c>
      <c r="C55" s="7" t="s">
        <v>407</v>
      </c>
      <c r="D55" s="2" t="s">
        <v>553</v>
      </c>
      <c r="E55" s="3">
        <v>15</v>
      </c>
      <c r="F55" s="3">
        <v>24</v>
      </c>
      <c r="I55" s="7" t="s">
        <v>407</v>
      </c>
      <c r="J55" s="2" t="s">
        <v>449</v>
      </c>
      <c r="K55" s="7" t="s">
        <v>428</v>
      </c>
      <c r="L55" s="3">
        <f>141.3/2</f>
        <v>70.650000000000006</v>
      </c>
    </row>
    <row r="56" spans="1:12">
      <c r="A56" s="7" t="s">
        <v>111</v>
      </c>
      <c r="C56" s="7" t="s">
        <v>408</v>
      </c>
      <c r="D56" s="2" t="s">
        <v>553</v>
      </c>
      <c r="E56" s="3">
        <v>15</v>
      </c>
      <c r="F56" s="3">
        <v>40</v>
      </c>
      <c r="I56" s="7" t="s">
        <v>408</v>
      </c>
      <c r="J56" s="2" t="s">
        <v>449</v>
      </c>
      <c r="K56" s="7" t="s">
        <v>429</v>
      </c>
      <c r="L56" s="3">
        <v>100.5</v>
      </c>
    </row>
    <row r="57" spans="1:12">
      <c r="A57" s="7" t="s">
        <v>112</v>
      </c>
      <c r="C57" s="7" t="s">
        <v>409</v>
      </c>
      <c r="D57" s="2" t="s">
        <v>553</v>
      </c>
      <c r="E57" s="3">
        <v>15</v>
      </c>
      <c r="F57" s="3" t="s">
        <v>397</v>
      </c>
      <c r="I57" s="7" t="s">
        <v>409</v>
      </c>
      <c r="J57" s="2" t="s">
        <v>449</v>
      </c>
      <c r="K57" s="7" t="s">
        <v>430</v>
      </c>
      <c r="L57" s="3">
        <v>141.30000000000001</v>
      </c>
    </row>
    <row r="58" spans="1:12">
      <c r="A58" s="7" t="s">
        <v>113</v>
      </c>
      <c r="C58" s="7" t="s">
        <v>410</v>
      </c>
      <c r="D58" s="2" t="s">
        <v>554</v>
      </c>
      <c r="E58" s="3">
        <v>20</v>
      </c>
      <c r="F58" s="3">
        <v>24</v>
      </c>
      <c r="I58" s="7" t="s">
        <v>410</v>
      </c>
      <c r="J58" s="2" t="s">
        <v>443</v>
      </c>
      <c r="K58" s="7" t="s">
        <v>431</v>
      </c>
      <c r="L58" s="3">
        <f>153/2</f>
        <v>76.5</v>
      </c>
    </row>
    <row r="59" spans="1:12">
      <c r="A59" s="7" t="s">
        <v>114</v>
      </c>
      <c r="C59" s="7" t="s">
        <v>411</v>
      </c>
      <c r="D59" s="2" t="s">
        <v>554</v>
      </c>
      <c r="E59" s="3">
        <v>20</v>
      </c>
      <c r="F59" s="3">
        <v>36</v>
      </c>
      <c r="I59" s="7" t="s">
        <v>411</v>
      </c>
      <c r="J59" s="2" t="s">
        <v>443</v>
      </c>
      <c r="K59" s="7" t="s">
        <v>432</v>
      </c>
      <c r="L59" s="3">
        <v>111.5</v>
      </c>
    </row>
    <row r="60" spans="1:12">
      <c r="A60" s="7" t="s">
        <v>115</v>
      </c>
      <c r="C60" s="7" t="s">
        <v>412</v>
      </c>
      <c r="D60" s="2" t="s">
        <v>554</v>
      </c>
      <c r="E60" s="3">
        <v>20</v>
      </c>
      <c r="F60" s="3">
        <v>40</v>
      </c>
      <c r="I60" s="7" t="s">
        <v>412</v>
      </c>
      <c r="J60" s="2" t="s">
        <v>443</v>
      </c>
      <c r="K60" s="7" t="s">
        <v>433</v>
      </c>
      <c r="L60" s="3">
        <v>111.5</v>
      </c>
    </row>
    <row r="61" spans="1:12">
      <c r="A61" s="7" t="s">
        <v>116</v>
      </c>
      <c r="C61" s="7" t="s">
        <v>413</v>
      </c>
      <c r="D61" s="2" t="s">
        <v>554</v>
      </c>
      <c r="E61" s="3">
        <v>20</v>
      </c>
      <c r="F61" s="3" t="s">
        <v>397</v>
      </c>
      <c r="I61" s="7" t="s">
        <v>413</v>
      </c>
      <c r="J61" s="2" t="s">
        <v>443</v>
      </c>
      <c r="K61" s="7" t="s">
        <v>434</v>
      </c>
      <c r="L61" s="3">
        <v>153</v>
      </c>
    </row>
    <row r="62" spans="1:12">
      <c r="A62" s="7" t="s">
        <v>117</v>
      </c>
      <c r="C62" s="7" t="s">
        <v>414</v>
      </c>
      <c r="D62" s="2" t="s">
        <v>555</v>
      </c>
      <c r="E62" s="3">
        <v>35</v>
      </c>
      <c r="F62" s="3">
        <v>24</v>
      </c>
      <c r="I62" s="7" t="s">
        <v>414</v>
      </c>
      <c r="J62" s="2" t="s">
        <v>445</v>
      </c>
      <c r="K62" s="7" t="s">
        <v>435</v>
      </c>
      <c r="L62" s="3">
        <f>158/2</f>
        <v>79</v>
      </c>
    </row>
    <row r="63" spans="1:12">
      <c r="A63" s="7" t="s">
        <v>118</v>
      </c>
      <c r="C63" s="7" t="s">
        <v>415</v>
      </c>
      <c r="D63" s="2" t="s">
        <v>555</v>
      </c>
      <c r="E63" s="3">
        <v>35</v>
      </c>
      <c r="F63" s="3">
        <v>40</v>
      </c>
      <c r="I63" s="7" t="s">
        <v>415</v>
      </c>
      <c r="J63" s="2" t="s">
        <v>445</v>
      </c>
      <c r="K63" s="7" t="s">
        <v>436</v>
      </c>
      <c r="L63" s="3">
        <v>113.5</v>
      </c>
    </row>
    <row r="64" spans="1:12">
      <c r="A64" s="7" t="s">
        <v>119</v>
      </c>
      <c r="C64" s="7" t="s">
        <v>416</v>
      </c>
      <c r="D64" s="2" t="s">
        <v>555</v>
      </c>
      <c r="E64" s="3">
        <v>35</v>
      </c>
      <c r="F64" s="3" t="s">
        <v>397</v>
      </c>
      <c r="I64" s="7" t="s">
        <v>416</v>
      </c>
      <c r="J64" s="2" t="s">
        <v>445</v>
      </c>
      <c r="K64" s="7" t="s">
        <v>437</v>
      </c>
      <c r="L64" s="3">
        <v>158</v>
      </c>
    </row>
    <row r="65" spans="1:12">
      <c r="A65" s="7" t="s">
        <v>120</v>
      </c>
      <c r="C65" s="7" t="s">
        <v>417</v>
      </c>
      <c r="D65" s="2" t="s">
        <v>556</v>
      </c>
      <c r="E65" s="3">
        <v>40</v>
      </c>
      <c r="F65" s="3">
        <v>40</v>
      </c>
      <c r="I65" s="7" t="s">
        <v>417</v>
      </c>
      <c r="J65" s="2" t="s">
        <v>444</v>
      </c>
      <c r="K65" s="7" t="s">
        <v>438</v>
      </c>
      <c r="L65" s="3">
        <v>113.5</v>
      </c>
    </row>
    <row r="66" spans="1:12">
      <c r="A66" s="7" t="s">
        <v>121</v>
      </c>
      <c r="C66" s="7" t="s">
        <v>418</v>
      </c>
      <c r="D66" s="2" t="s">
        <v>556</v>
      </c>
      <c r="E66" s="3">
        <v>40</v>
      </c>
      <c r="F66" s="3" t="s">
        <v>397</v>
      </c>
      <c r="I66" s="7" t="s">
        <v>418</v>
      </c>
      <c r="J66" s="2" t="s">
        <v>444</v>
      </c>
      <c r="K66" s="7" t="s">
        <v>439</v>
      </c>
      <c r="L66" s="3">
        <v>158</v>
      </c>
    </row>
    <row r="67" spans="1:12">
      <c r="A67" s="7" t="s">
        <v>122</v>
      </c>
      <c r="C67" s="7" t="s">
        <v>460</v>
      </c>
      <c r="D67" s="2" t="s">
        <v>557</v>
      </c>
      <c r="E67" s="3">
        <v>50</v>
      </c>
      <c r="F67" s="3">
        <v>40</v>
      </c>
      <c r="I67" s="7" t="s">
        <v>460</v>
      </c>
      <c r="J67" s="2" t="s">
        <v>446</v>
      </c>
      <c r="K67" s="7" t="s">
        <v>440</v>
      </c>
      <c r="L67" s="3">
        <v>118.5</v>
      </c>
    </row>
    <row r="68" spans="1:12">
      <c r="A68" s="7" t="s">
        <v>123</v>
      </c>
      <c r="C68" s="7" t="s">
        <v>461</v>
      </c>
      <c r="D68" s="2" t="s">
        <v>557</v>
      </c>
      <c r="E68" s="3">
        <v>50</v>
      </c>
      <c r="F68" s="3" t="s">
        <v>397</v>
      </c>
      <c r="I68" s="7" t="s">
        <v>461</v>
      </c>
      <c r="J68" s="2" t="s">
        <v>446</v>
      </c>
      <c r="K68" s="7" t="s">
        <v>441</v>
      </c>
    </row>
    <row r="69" spans="1:12">
      <c r="A69" s="7" t="s">
        <v>124</v>
      </c>
      <c r="C69" s="7" t="s">
        <v>462</v>
      </c>
      <c r="D69" s="2" t="s">
        <v>558</v>
      </c>
      <c r="E69" s="3">
        <v>70</v>
      </c>
      <c r="F69" s="3">
        <v>40</v>
      </c>
      <c r="I69" s="7" t="s">
        <v>462</v>
      </c>
      <c r="J69" s="2" t="s">
        <v>447</v>
      </c>
      <c r="K69" s="7" t="s">
        <v>450</v>
      </c>
      <c r="L69" s="3">
        <v>118.5</v>
      </c>
    </row>
    <row r="70" spans="1:12">
      <c r="A70" s="7" t="s">
        <v>125</v>
      </c>
      <c r="C70" s="7" t="s">
        <v>463</v>
      </c>
      <c r="D70" s="2" t="s">
        <v>558</v>
      </c>
      <c r="E70" s="3">
        <v>70</v>
      </c>
      <c r="F70" s="3" t="s">
        <v>397</v>
      </c>
      <c r="I70" s="7" t="s">
        <v>463</v>
      </c>
      <c r="J70" s="2" t="s">
        <v>447</v>
      </c>
      <c r="K70" s="7" t="s">
        <v>451</v>
      </c>
    </row>
    <row r="71" spans="1:12">
      <c r="A71" s="7" t="s">
        <v>128</v>
      </c>
      <c r="C71" s="2" t="s">
        <v>452</v>
      </c>
      <c r="I71" s="2" t="s">
        <v>452</v>
      </c>
      <c r="K71" s="2" t="s">
        <v>456</v>
      </c>
      <c r="L71" s="3">
        <v>450</v>
      </c>
    </row>
    <row r="72" spans="1:12">
      <c r="A72" s="7" t="s">
        <v>129</v>
      </c>
      <c r="C72" s="2" t="s">
        <v>455</v>
      </c>
      <c r="I72" s="2" t="s">
        <v>455</v>
      </c>
      <c r="K72" s="2" t="s">
        <v>457</v>
      </c>
      <c r="L72" s="3">
        <v>480</v>
      </c>
    </row>
    <row r="73" spans="1:12">
      <c r="A73" s="7" t="s">
        <v>130</v>
      </c>
      <c r="C73" s="2" t="s">
        <v>454</v>
      </c>
      <c r="I73" s="2" t="s">
        <v>454</v>
      </c>
      <c r="K73" s="2" t="s">
        <v>458</v>
      </c>
      <c r="L73" s="3">
        <v>480</v>
      </c>
    </row>
    <row r="74" spans="1:12">
      <c r="A74" s="7" t="s">
        <v>131</v>
      </c>
      <c r="C74" s="2" t="s">
        <v>453</v>
      </c>
      <c r="I74" s="2" t="s">
        <v>453</v>
      </c>
      <c r="K74" s="2" t="s">
        <v>459</v>
      </c>
      <c r="L74" s="3">
        <v>510</v>
      </c>
    </row>
    <row r="75" spans="1:12">
      <c r="A75" s="7" t="s">
        <v>133</v>
      </c>
    </row>
    <row r="76" spans="1:12">
      <c r="A76" s="7" t="s">
        <v>134</v>
      </c>
    </row>
    <row r="77" spans="1:12">
      <c r="A77" s="7" t="s">
        <v>135</v>
      </c>
    </row>
    <row r="78" spans="1:12">
      <c r="A78" s="7" t="s">
        <v>136</v>
      </c>
      <c r="I78" s="8"/>
      <c r="J78" s="8"/>
      <c r="K78" s="8"/>
    </row>
    <row r="79" spans="1:12">
      <c r="A79" s="7" t="s">
        <v>137</v>
      </c>
    </row>
    <row r="80" spans="1:12">
      <c r="A80" s="7" t="s">
        <v>138</v>
      </c>
    </row>
    <row r="81" spans="1:12">
      <c r="A81" s="7" t="s">
        <v>139</v>
      </c>
    </row>
    <row r="82" spans="1:12">
      <c r="A82" s="7" t="s">
        <v>140</v>
      </c>
    </row>
    <row r="83" spans="1:12">
      <c r="A83" s="7" t="s">
        <v>141</v>
      </c>
    </row>
    <row r="84" spans="1:12">
      <c r="A84" s="7" t="s">
        <v>142</v>
      </c>
    </row>
    <row r="85" spans="1:12">
      <c r="A85" s="7"/>
    </row>
    <row r="86" spans="1:12">
      <c r="A86" s="7"/>
    </row>
    <row r="87" spans="1:12" s="8" customFormat="1">
      <c r="A87" s="5"/>
      <c r="B87" s="12"/>
      <c r="E87" s="9"/>
      <c r="F87" s="9"/>
      <c r="G87" s="9"/>
      <c r="H87" s="12"/>
      <c r="I87" s="2"/>
      <c r="J87" s="2"/>
      <c r="K87" s="2"/>
      <c r="L87" s="9"/>
    </row>
  </sheetData>
  <mergeCells count="2">
    <mergeCell ref="C1:G1"/>
    <mergeCell ref="I1:L1"/>
  </mergeCells>
  <pageMargins left="0.7" right="0.7" top="0.75" bottom="0.75" header="0.1" footer="0.3"/>
  <pageSetup orientation="portrait" verticalDpi="0" r:id="rId1"/>
  <headerFooter>
    <oddHeader>&amp;L&amp;"Arial,Bold"&amp;8 3:42 PM
&amp;"Arial,Bold"&amp;8 11-13-25
&amp;"Arial,Bold"&amp;8 &amp;C&amp;"Arial,Bold"&amp;12 SMP Corporation
&amp;"Arial,Bold"&amp;14 Inventory Stock Status by Item
&amp;"Arial,Bold"&amp;10 November 1 - 13,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1025" r:id="rId4" name="FILTER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1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73" sqref="K73"/>
    </sheetView>
  </sheetViews>
  <sheetFormatPr defaultRowHeight="15"/>
  <cols>
    <col min="1" max="1" width="55.140625" style="4" bestFit="1" customWidth="1"/>
    <col min="2" max="2" width="0.85546875" style="11" customWidth="1"/>
    <col min="3" max="3" width="12.28515625" style="2" bestFit="1" customWidth="1"/>
    <col min="4" max="4" width="28.28515625" style="2" bestFit="1" customWidth="1"/>
    <col min="5" max="5" width="9.140625" style="3"/>
    <col min="6" max="6" width="12.5703125" style="3" bestFit="1" customWidth="1"/>
    <col min="7" max="7" width="9.140625" style="3"/>
    <col min="8" max="8" width="0.85546875" style="11" customWidth="1"/>
    <col min="9" max="9" width="15.5703125" style="2" bestFit="1" customWidth="1"/>
    <col min="10" max="10" width="18" style="2" bestFit="1" customWidth="1"/>
    <col min="11" max="11" width="48.42578125" style="2" bestFit="1" customWidth="1"/>
    <col min="12" max="12" width="10.28515625" style="3" customWidth="1"/>
    <col min="13" max="16384" width="9.140625" style="2"/>
  </cols>
  <sheetData>
    <row r="1" spans="1:12">
      <c r="A1" s="6"/>
      <c r="B1" s="10"/>
      <c r="C1" s="14" t="s">
        <v>219</v>
      </c>
      <c r="D1" s="14"/>
      <c r="E1" s="14"/>
      <c r="F1" s="14"/>
      <c r="G1" s="14"/>
      <c r="H1" s="10"/>
      <c r="I1" s="14" t="s">
        <v>220</v>
      </c>
      <c r="J1" s="14"/>
      <c r="K1" s="14"/>
      <c r="L1" s="14"/>
    </row>
    <row r="2" spans="1:12">
      <c r="A2" s="6" t="s">
        <v>289</v>
      </c>
      <c r="B2" s="10"/>
      <c r="C2" s="1" t="s">
        <v>146</v>
      </c>
      <c r="D2" s="1" t="s">
        <v>147</v>
      </c>
      <c r="E2" s="6" t="s">
        <v>185</v>
      </c>
      <c r="F2" s="6" t="s">
        <v>186</v>
      </c>
      <c r="G2" s="6" t="s">
        <v>187</v>
      </c>
      <c r="H2" s="10"/>
      <c r="I2" s="6" t="s">
        <v>146</v>
      </c>
      <c r="J2" s="6" t="s">
        <v>221</v>
      </c>
      <c r="K2" s="6" t="s">
        <v>147</v>
      </c>
      <c r="L2" s="6" t="s">
        <v>187</v>
      </c>
    </row>
    <row r="3" spans="1:12">
      <c r="A3" s="7" t="s">
        <v>0</v>
      </c>
      <c r="C3" s="2" t="s">
        <v>149</v>
      </c>
      <c r="D3" s="2" t="s">
        <v>148</v>
      </c>
      <c r="E3" s="3">
        <v>5</v>
      </c>
      <c r="F3" s="3">
        <v>40</v>
      </c>
      <c r="G3" s="3">
        <v>280</v>
      </c>
      <c r="I3" s="2" t="s">
        <v>149</v>
      </c>
      <c r="J3" s="2" t="s">
        <v>222</v>
      </c>
      <c r="K3" s="2" t="s">
        <v>249</v>
      </c>
      <c r="L3" s="3">
        <v>153</v>
      </c>
    </row>
    <row r="4" spans="1:12">
      <c r="A4" s="7" t="s">
        <v>1</v>
      </c>
      <c r="C4" s="2" t="s">
        <v>150</v>
      </c>
      <c r="D4" s="2" t="s">
        <v>188</v>
      </c>
      <c r="E4" s="3">
        <v>15</v>
      </c>
      <c r="F4" s="3">
        <v>40</v>
      </c>
      <c r="G4" s="3">
        <v>280</v>
      </c>
      <c r="I4" s="2" t="s">
        <v>150</v>
      </c>
      <c r="J4" s="2" t="s">
        <v>223</v>
      </c>
      <c r="K4" s="2" t="s">
        <v>250</v>
      </c>
      <c r="L4" s="3">
        <v>153</v>
      </c>
    </row>
    <row r="5" spans="1:12">
      <c r="A5" s="7" t="s">
        <v>2</v>
      </c>
      <c r="C5" s="2" t="s">
        <v>151</v>
      </c>
      <c r="D5" s="2" t="s">
        <v>189</v>
      </c>
      <c r="E5" s="3">
        <v>20</v>
      </c>
      <c r="F5" s="3">
        <v>40</v>
      </c>
      <c r="G5" s="3">
        <v>280</v>
      </c>
      <c r="I5" s="2" t="s">
        <v>151</v>
      </c>
      <c r="J5" s="2" t="s">
        <v>224</v>
      </c>
      <c r="K5" s="2" t="s">
        <v>239</v>
      </c>
      <c r="L5" s="3">
        <v>153</v>
      </c>
    </row>
    <row r="6" spans="1:12">
      <c r="A6" s="7" t="s">
        <v>3</v>
      </c>
      <c r="C6" s="2" t="s">
        <v>152</v>
      </c>
      <c r="D6" s="2" t="s">
        <v>190</v>
      </c>
      <c r="E6" s="3">
        <v>35</v>
      </c>
      <c r="F6" s="3">
        <v>40</v>
      </c>
      <c r="G6" s="3">
        <v>280</v>
      </c>
      <c r="I6" s="2" t="s">
        <v>152</v>
      </c>
      <c r="J6" s="2" t="s">
        <v>225</v>
      </c>
      <c r="K6" s="2" t="s">
        <v>251</v>
      </c>
      <c r="L6" s="3">
        <v>153</v>
      </c>
    </row>
    <row r="7" spans="1:12">
      <c r="A7" s="7" t="s">
        <v>4</v>
      </c>
      <c r="C7" s="2" t="s">
        <v>153</v>
      </c>
      <c r="D7" s="2" t="s">
        <v>191</v>
      </c>
      <c r="E7" s="3">
        <v>50</v>
      </c>
      <c r="F7" s="3">
        <v>40</v>
      </c>
      <c r="G7" s="3">
        <v>280</v>
      </c>
      <c r="I7" s="2" t="s">
        <v>153</v>
      </c>
      <c r="J7" s="2" t="s">
        <v>275</v>
      </c>
      <c r="K7" s="2" t="s">
        <v>240</v>
      </c>
      <c r="L7" s="3">
        <v>158.5</v>
      </c>
    </row>
    <row r="8" spans="1:12">
      <c r="A8" s="7" t="s">
        <v>5</v>
      </c>
      <c r="C8" s="2" t="s">
        <v>154</v>
      </c>
      <c r="D8" s="2" t="s">
        <v>192</v>
      </c>
      <c r="E8" s="3">
        <v>70</v>
      </c>
      <c r="F8" s="3">
        <v>40</v>
      </c>
      <c r="G8" s="3">
        <v>280</v>
      </c>
      <c r="I8" s="2" t="s">
        <v>154</v>
      </c>
      <c r="J8" s="2" t="s">
        <v>276</v>
      </c>
      <c r="K8" s="2" t="s">
        <v>241</v>
      </c>
      <c r="L8" s="3">
        <v>158.5</v>
      </c>
    </row>
    <row r="9" spans="1:12">
      <c r="A9" s="7" t="s">
        <v>8</v>
      </c>
      <c r="C9" s="2" t="s">
        <v>155</v>
      </c>
      <c r="D9" s="2" t="s">
        <v>212</v>
      </c>
      <c r="E9" s="3">
        <v>5</v>
      </c>
      <c r="F9" s="3">
        <v>40</v>
      </c>
      <c r="G9" s="3">
        <v>87</v>
      </c>
      <c r="I9" s="2" t="s">
        <v>155</v>
      </c>
      <c r="J9" s="2" t="s">
        <v>232</v>
      </c>
      <c r="K9" s="2" t="s">
        <v>252</v>
      </c>
      <c r="L9" s="3">
        <v>70.5</v>
      </c>
    </row>
    <row r="10" spans="1:12">
      <c r="A10" s="7" t="s">
        <v>9</v>
      </c>
      <c r="C10" s="2" t="s">
        <v>156</v>
      </c>
      <c r="D10" s="2" t="s">
        <v>212</v>
      </c>
      <c r="E10" s="3">
        <v>5</v>
      </c>
      <c r="F10" s="3" t="s">
        <v>397</v>
      </c>
      <c r="G10" s="3">
        <v>120</v>
      </c>
      <c r="I10" s="2" t="s">
        <v>156</v>
      </c>
      <c r="J10" s="2" t="s">
        <v>232</v>
      </c>
      <c r="K10" s="2" t="s">
        <v>288</v>
      </c>
      <c r="L10" s="3">
        <v>98.3</v>
      </c>
    </row>
    <row r="11" spans="1:12">
      <c r="A11" s="7" t="s">
        <v>9</v>
      </c>
      <c r="C11" s="2" t="s">
        <v>156</v>
      </c>
      <c r="D11" s="2" t="s">
        <v>212</v>
      </c>
      <c r="E11" s="3">
        <v>5</v>
      </c>
      <c r="F11" s="3" t="s">
        <v>398</v>
      </c>
      <c r="G11" s="3">
        <v>120</v>
      </c>
      <c r="I11" s="2" t="s">
        <v>156</v>
      </c>
      <c r="J11" s="2" t="s">
        <v>232</v>
      </c>
      <c r="K11" s="2" t="s">
        <v>288</v>
      </c>
      <c r="L11" s="3">
        <v>98.3</v>
      </c>
    </row>
    <row r="12" spans="1:12">
      <c r="A12" s="7" t="s">
        <v>9</v>
      </c>
      <c r="C12" s="2" t="s">
        <v>156</v>
      </c>
      <c r="D12" s="2" t="s">
        <v>212</v>
      </c>
      <c r="E12" s="3">
        <v>5</v>
      </c>
      <c r="F12" s="3" t="s">
        <v>399</v>
      </c>
      <c r="I12" s="2" t="s">
        <v>156</v>
      </c>
      <c r="J12" s="2" t="s">
        <v>232</v>
      </c>
      <c r="K12" s="2" t="s">
        <v>288</v>
      </c>
    </row>
    <row r="13" spans="1:12">
      <c r="A13" s="7" t="s">
        <v>9</v>
      </c>
      <c r="C13" s="2" t="s">
        <v>156</v>
      </c>
      <c r="D13" s="2" t="s">
        <v>212</v>
      </c>
      <c r="E13" s="3">
        <v>5</v>
      </c>
      <c r="F13" s="3" t="s">
        <v>400</v>
      </c>
      <c r="I13" s="2" t="s">
        <v>156</v>
      </c>
      <c r="J13" s="2" t="s">
        <v>232</v>
      </c>
      <c r="K13" s="2" t="s">
        <v>288</v>
      </c>
    </row>
    <row r="14" spans="1:12">
      <c r="A14" s="7" t="s">
        <v>9</v>
      </c>
      <c r="C14" s="2" t="s">
        <v>156</v>
      </c>
      <c r="D14" s="2" t="s">
        <v>212</v>
      </c>
      <c r="E14" s="3">
        <v>5</v>
      </c>
      <c r="F14" s="3" t="s">
        <v>401</v>
      </c>
      <c r="I14" s="2" t="s">
        <v>156</v>
      </c>
      <c r="J14" s="2" t="s">
        <v>232</v>
      </c>
      <c r="K14" s="2" t="s">
        <v>288</v>
      </c>
    </row>
    <row r="15" spans="1:12">
      <c r="A15" s="7" t="s">
        <v>10</v>
      </c>
      <c r="C15" s="2" t="s">
        <v>157</v>
      </c>
      <c r="D15" s="2" t="s">
        <v>213</v>
      </c>
      <c r="E15" s="3">
        <v>15</v>
      </c>
      <c r="F15" s="3">
        <v>36</v>
      </c>
      <c r="G15" s="3">
        <v>87</v>
      </c>
      <c r="I15" s="2" t="s">
        <v>157</v>
      </c>
      <c r="J15" s="2" t="s">
        <v>233</v>
      </c>
      <c r="K15" s="2" t="s">
        <v>265</v>
      </c>
      <c r="L15" s="3">
        <v>70.5</v>
      </c>
    </row>
    <row r="16" spans="1:12">
      <c r="A16" s="7" t="s">
        <v>11</v>
      </c>
      <c r="C16" s="2" t="s">
        <v>158</v>
      </c>
      <c r="D16" s="2" t="s">
        <v>213</v>
      </c>
      <c r="E16" s="3">
        <v>15</v>
      </c>
      <c r="F16" s="3">
        <v>40</v>
      </c>
      <c r="G16" s="3">
        <v>87</v>
      </c>
      <c r="I16" s="2" t="s">
        <v>158</v>
      </c>
      <c r="J16" s="2" t="s">
        <v>233</v>
      </c>
      <c r="K16" s="2" t="s">
        <v>253</v>
      </c>
      <c r="L16" s="3">
        <v>70.5</v>
      </c>
    </row>
    <row r="17" spans="1:12">
      <c r="A17" s="7" t="s">
        <v>12</v>
      </c>
      <c r="C17" s="2" t="s">
        <v>159</v>
      </c>
      <c r="D17" s="2" t="s">
        <v>213</v>
      </c>
      <c r="E17" s="3">
        <v>15</v>
      </c>
      <c r="F17" s="3">
        <v>60</v>
      </c>
      <c r="G17" s="3">
        <v>120</v>
      </c>
      <c r="I17" s="2" t="s">
        <v>159</v>
      </c>
      <c r="J17" s="2" t="s">
        <v>233</v>
      </c>
      <c r="K17" s="2" t="s">
        <v>278</v>
      </c>
      <c r="L17" s="3">
        <v>98.3</v>
      </c>
    </row>
    <row r="18" spans="1:12">
      <c r="A18" s="7" t="s">
        <v>14</v>
      </c>
      <c r="C18" s="2" t="s">
        <v>160</v>
      </c>
      <c r="D18" s="2" t="s">
        <v>214</v>
      </c>
      <c r="E18" s="3">
        <v>20</v>
      </c>
      <c r="F18" s="3">
        <v>36</v>
      </c>
      <c r="G18" s="3">
        <v>87</v>
      </c>
      <c r="I18" s="2" t="s">
        <v>160</v>
      </c>
      <c r="J18" s="2" t="s">
        <v>234</v>
      </c>
      <c r="K18" s="2" t="s">
        <v>266</v>
      </c>
      <c r="L18" s="3">
        <v>70.5</v>
      </c>
    </row>
    <row r="19" spans="1:12">
      <c r="A19" s="7" t="s">
        <v>15</v>
      </c>
      <c r="C19" s="2" t="s">
        <v>161</v>
      </c>
      <c r="D19" s="2" t="s">
        <v>214</v>
      </c>
      <c r="E19" s="3">
        <v>20</v>
      </c>
      <c r="F19" s="3">
        <v>40</v>
      </c>
      <c r="G19" s="3">
        <v>87</v>
      </c>
      <c r="I19" s="2" t="s">
        <v>161</v>
      </c>
      <c r="J19" s="2" t="s">
        <v>234</v>
      </c>
      <c r="K19" s="2" t="s">
        <v>242</v>
      </c>
      <c r="L19" s="3">
        <v>70.5</v>
      </c>
    </row>
    <row r="20" spans="1:12">
      <c r="A20" s="7" t="s">
        <v>16</v>
      </c>
      <c r="C20" s="2" t="s">
        <v>162</v>
      </c>
      <c r="D20" s="2" t="s">
        <v>214</v>
      </c>
      <c r="E20" s="3">
        <v>20</v>
      </c>
      <c r="F20" s="3">
        <v>60</v>
      </c>
      <c r="G20" s="3">
        <v>120</v>
      </c>
      <c r="I20" s="2" t="s">
        <v>162</v>
      </c>
      <c r="J20" s="2" t="s">
        <v>234</v>
      </c>
      <c r="K20" s="2" t="s">
        <v>279</v>
      </c>
      <c r="L20" s="3">
        <v>98.3</v>
      </c>
    </row>
    <row r="21" spans="1:12">
      <c r="A21" s="7" t="s">
        <v>18</v>
      </c>
      <c r="C21" s="2" t="s">
        <v>163</v>
      </c>
      <c r="D21" s="2" t="s">
        <v>218</v>
      </c>
      <c r="E21" s="3">
        <v>25</v>
      </c>
      <c r="F21" s="3">
        <v>36</v>
      </c>
      <c r="G21" s="3">
        <v>87</v>
      </c>
      <c r="I21" s="2" t="s">
        <v>163</v>
      </c>
      <c r="J21" s="2" t="s">
        <v>235</v>
      </c>
      <c r="K21" s="2" t="s">
        <v>267</v>
      </c>
      <c r="L21" s="3">
        <v>70.5</v>
      </c>
    </row>
    <row r="22" spans="1:12">
      <c r="A22" s="7" t="s">
        <v>19</v>
      </c>
      <c r="C22" s="2" t="s">
        <v>164</v>
      </c>
      <c r="D22" s="2" t="s">
        <v>218</v>
      </c>
      <c r="E22" s="3">
        <v>25</v>
      </c>
      <c r="F22" s="3">
        <v>40</v>
      </c>
      <c r="G22" s="3">
        <v>87</v>
      </c>
      <c r="I22" s="2" t="s">
        <v>164</v>
      </c>
      <c r="J22" s="2" t="s">
        <v>235</v>
      </c>
      <c r="K22" s="2" t="s">
        <v>254</v>
      </c>
      <c r="L22" s="3">
        <v>70.5</v>
      </c>
    </row>
    <row r="23" spans="1:12">
      <c r="A23" s="7" t="s">
        <v>20</v>
      </c>
      <c r="C23" s="2" t="s">
        <v>165</v>
      </c>
      <c r="D23" s="2" t="s">
        <v>218</v>
      </c>
      <c r="E23" s="3">
        <v>25</v>
      </c>
      <c r="F23" s="3">
        <v>60</v>
      </c>
      <c r="G23" s="3">
        <v>120</v>
      </c>
      <c r="I23" s="2" t="s">
        <v>165</v>
      </c>
      <c r="J23" s="2" t="s">
        <v>235</v>
      </c>
      <c r="K23" s="2" t="s">
        <v>280</v>
      </c>
      <c r="L23" s="3">
        <v>98.3</v>
      </c>
    </row>
    <row r="24" spans="1:12">
      <c r="A24" s="7" t="s">
        <v>21</v>
      </c>
      <c r="C24" s="2" t="s">
        <v>166</v>
      </c>
      <c r="D24" s="2" t="s">
        <v>215</v>
      </c>
      <c r="E24" s="3">
        <v>35</v>
      </c>
      <c r="F24" s="3">
        <v>36</v>
      </c>
      <c r="G24" s="3">
        <v>87</v>
      </c>
      <c r="I24" s="2" t="s">
        <v>166</v>
      </c>
      <c r="J24" s="2" t="s">
        <v>236</v>
      </c>
      <c r="K24" s="2" t="s">
        <v>268</v>
      </c>
      <c r="L24" s="3">
        <v>70.5</v>
      </c>
    </row>
    <row r="25" spans="1:12">
      <c r="A25" s="7" t="s">
        <v>22</v>
      </c>
      <c r="C25" s="2" t="s">
        <v>167</v>
      </c>
      <c r="D25" s="2" t="s">
        <v>215</v>
      </c>
      <c r="E25" s="3">
        <v>35</v>
      </c>
      <c r="F25" s="3">
        <v>40</v>
      </c>
      <c r="G25" s="3">
        <v>87</v>
      </c>
      <c r="I25" s="2" t="s">
        <v>167</v>
      </c>
      <c r="J25" s="2" t="s">
        <v>236</v>
      </c>
      <c r="K25" s="2" t="s">
        <v>255</v>
      </c>
      <c r="L25" s="3">
        <v>70.5</v>
      </c>
    </row>
    <row r="26" spans="1:12">
      <c r="A26" s="7" t="s">
        <v>23</v>
      </c>
      <c r="C26" s="2" t="s">
        <v>168</v>
      </c>
      <c r="D26" s="2" t="s">
        <v>215</v>
      </c>
      <c r="E26" s="3">
        <v>35</v>
      </c>
      <c r="F26" s="3">
        <v>60</v>
      </c>
      <c r="G26" s="3">
        <v>120</v>
      </c>
      <c r="I26" s="2" t="s">
        <v>168</v>
      </c>
      <c r="J26" s="2" t="s">
        <v>236</v>
      </c>
      <c r="K26" s="2" t="s">
        <v>281</v>
      </c>
      <c r="L26" s="3">
        <v>98.3</v>
      </c>
    </row>
    <row r="27" spans="1:12">
      <c r="A27" s="7" t="s">
        <v>24</v>
      </c>
      <c r="C27" s="2" t="s">
        <v>169</v>
      </c>
      <c r="D27" s="2" t="s">
        <v>216</v>
      </c>
      <c r="E27" s="3">
        <v>40</v>
      </c>
      <c r="F27" s="3">
        <v>36</v>
      </c>
      <c r="G27" s="3">
        <v>87</v>
      </c>
      <c r="I27" s="2" t="s">
        <v>169</v>
      </c>
      <c r="J27" s="2" t="s">
        <v>237</v>
      </c>
      <c r="K27" s="2" t="s">
        <v>269</v>
      </c>
      <c r="L27" s="3">
        <v>70.5</v>
      </c>
    </row>
    <row r="28" spans="1:12">
      <c r="A28" s="7" t="s">
        <v>25</v>
      </c>
      <c r="C28" s="2" t="s">
        <v>170</v>
      </c>
      <c r="D28" s="2" t="s">
        <v>216</v>
      </c>
      <c r="E28" s="3">
        <v>40</v>
      </c>
      <c r="F28" s="3">
        <v>40</v>
      </c>
      <c r="G28" s="3">
        <v>87</v>
      </c>
      <c r="I28" s="2" t="s">
        <v>170</v>
      </c>
      <c r="J28" s="2" t="s">
        <v>237</v>
      </c>
      <c r="K28" s="2" t="s">
        <v>243</v>
      </c>
      <c r="L28" s="3">
        <v>70.5</v>
      </c>
    </row>
    <row r="29" spans="1:12">
      <c r="A29" s="7" t="s">
        <v>26</v>
      </c>
      <c r="C29" s="2" t="s">
        <v>171</v>
      </c>
      <c r="D29" s="2" t="s">
        <v>216</v>
      </c>
      <c r="E29" s="3">
        <v>40</v>
      </c>
      <c r="F29" s="3">
        <v>60</v>
      </c>
      <c r="G29" s="3">
        <v>120</v>
      </c>
      <c r="I29" s="2" t="s">
        <v>171</v>
      </c>
      <c r="J29" s="2" t="s">
        <v>237</v>
      </c>
      <c r="K29" s="2" t="s">
        <v>282</v>
      </c>
      <c r="L29" s="3">
        <v>98.3</v>
      </c>
    </row>
    <row r="30" spans="1:12">
      <c r="A30" s="7" t="s">
        <v>27</v>
      </c>
      <c r="C30" s="2" t="s">
        <v>172</v>
      </c>
      <c r="D30" s="2" t="s">
        <v>217</v>
      </c>
      <c r="E30" s="3">
        <v>50</v>
      </c>
      <c r="F30" s="3">
        <v>36</v>
      </c>
      <c r="G30" s="3">
        <v>87</v>
      </c>
      <c r="I30" s="2" t="s">
        <v>172</v>
      </c>
      <c r="J30" s="2" t="s">
        <v>238</v>
      </c>
      <c r="K30" s="2" t="s">
        <v>259</v>
      </c>
      <c r="L30" s="3">
        <v>70.5</v>
      </c>
    </row>
    <row r="31" spans="1:12">
      <c r="A31" s="7" t="s">
        <v>28</v>
      </c>
      <c r="C31" s="2" t="s">
        <v>173</v>
      </c>
      <c r="D31" s="2" t="s">
        <v>217</v>
      </c>
      <c r="E31" s="3">
        <v>50</v>
      </c>
      <c r="F31" s="3">
        <v>40</v>
      </c>
      <c r="G31" s="3">
        <v>87</v>
      </c>
      <c r="I31" s="2" t="s">
        <v>173</v>
      </c>
      <c r="J31" s="2" t="s">
        <v>238</v>
      </c>
      <c r="K31" s="2" t="s">
        <v>244</v>
      </c>
      <c r="L31" s="3">
        <v>70.5</v>
      </c>
    </row>
    <row r="32" spans="1:12">
      <c r="A32" s="7" t="s">
        <v>29</v>
      </c>
      <c r="C32" s="2" t="s">
        <v>174</v>
      </c>
      <c r="D32" s="2" t="s">
        <v>217</v>
      </c>
      <c r="E32" s="3">
        <v>50</v>
      </c>
      <c r="F32" s="3">
        <v>60</v>
      </c>
      <c r="G32" s="3">
        <v>120</v>
      </c>
      <c r="I32" s="2" t="s">
        <v>174</v>
      </c>
      <c r="J32" s="2" t="s">
        <v>238</v>
      </c>
      <c r="K32" s="2" t="s">
        <v>260</v>
      </c>
      <c r="L32" s="3">
        <v>98.3</v>
      </c>
    </row>
    <row r="33" spans="1:12">
      <c r="A33" s="7" t="s">
        <v>31</v>
      </c>
      <c r="C33" s="2" t="s">
        <v>175</v>
      </c>
      <c r="D33" s="2" t="s">
        <v>201</v>
      </c>
      <c r="E33" s="3">
        <v>5</v>
      </c>
      <c r="F33" s="3">
        <v>36</v>
      </c>
      <c r="G33" s="3">
        <v>133.6</v>
      </c>
      <c r="I33" s="2" t="s">
        <v>175</v>
      </c>
      <c r="J33" s="2" t="s">
        <v>226</v>
      </c>
      <c r="K33" s="2" t="s">
        <v>270</v>
      </c>
      <c r="L33" s="3">
        <v>97</v>
      </c>
    </row>
    <row r="34" spans="1:12">
      <c r="A34" s="7" t="s">
        <v>32</v>
      </c>
      <c r="C34" s="2" t="s">
        <v>176</v>
      </c>
      <c r="D34" s="2" t="s">
        <v>201</v>
      </c>
      <c r="E34" s="3">
        <v>5</v>
      </c>
      <c r="F34" s="3">
        <v>40</v>
      </c>
      <c r="G34" s="3">
        <v>133.6</v>
      </c>
      <c r="I34" s="2" t="s">
        <v>176</v>
      </c>
      <c r="J34" s="2" t="s">
        <v>226</v>
      </c>
      <c r="K34" s="2" t="s">
        <v>256</v>
      </c>
      <c r="L34" s="3">
        <v>97</v>
      </c>
    </row>
    <row r="35" spans="1:12">
      <c r="A35" s="7" t="s">
        <v>33</v>
      </c>
      <c r="C35" s="2" t="s">
        <v>177</v>
      </c>
      <c r="D35" s="2" t="s">
        <v>201</v>
      </c>
      <c r="E35" s="3">
        <v>5</v>
      </c>
      <c r="F35" s="3">
        <v>60</v>
      </c>
      <c r="G35" s="3">
        <v>200</v>
      </c>
      <c r="I35" s="2" t="s">
        <v>177</v>
      </c>
      <c r="J35" s="2" t="s">
        <v>226</v>
      </c>
      <c r="K35" s="2" t="s">
        <v>283</v>
      </c>
      <c r="L35" s="3">
        <v>136.30000000000001</v>
      </c>
    </row>
    <row r="36" spans="1:12">
      <c r="A36" s="7" t="s">
        <v>34</v>
      </c>
      <c r="C36" s="2" t="s">
        <v>178</v>
      </c>
      <c r="D36" s="2" t="s">
        <v>202</v>
      </c>
      <c r="E36" s="3">
        <v>15</v>
      </c>
      <c r="F36" s="3">
        <v>36</v>
      </c>
      <c r="G36" s="3">
        <v>133.6</v>
      </c>
      <c r="I36" s="2" t="s">
        <v>178</v>
      </c>
      <c r="J36" s="2" t="s">
        <v>227</v>
      </c>
      <c r="K36" s="2" t="s">
        <v>271</v>
      </c>
      <c r="L36" s="3">
        <v>97</v>
      </c>
    </row>
    <row r="37" spans="1:12">
      <c r="A37" s="7" t="s">
        <v>35</v>
      </c>
      <c r="C37" s="2" t="s">
        <v>179</v>
      </c>
      <c r="D37" s="2" t="s">
        <v>202</v>
      </c>
      <c r="E37" s="3">
        <v>15</v>
      </c>
      <c r="F37" s="3">
        <v>40</v>
      </c>
      <c r="G37" s="3">
        <v>133.6</v>
      </c>
      <c r="I37" s="2" t="s">
        <v>179</v>
      </c>
      <c r="J37" s="2" t="s">
        <v>227</v>
      </c>
      <c r="K37" s="2" t="s">
        <v>257</v>
      </c>
      <c r="L37" s="3">
        <v>97</v>
      </c>
    </row>
    <row r="38" spans="1:12">
      <c r="A38" s="7" t="s">
        <v>36</v>
      </c>
      <c r="C38" s="2" t="s">
        <v>180</v>
      </c>
      <c r="D38" s="2" t="s">
        <v>202</v>
      </c>
      <c r="E38" s="3">
        <v>15</v>
      </c>
      <c r="F38" s="3">
        <v>60</v>
      </c>
      <c r="G38" s="3">
        <v>200</v>
      </c>
      <c r="I38" s="2" t="s">
        <v>180</v>
      </c>
      <c r="J38" s="2" t="s">
        <v>227</v>
      </c>
      <c r="K38" s="2" t="s">
        <v>284</v>
      </c>
      <c r="L38" s="3">
        <v>136.30000000000001</v>
      </c>
    </row>
    <row r="39" spans="1:12">
      <c r="A39" s="7" t="s">
        <v>38</v>
      </c>
      <c r="C39" s="2" t="s">
        <v>181</v>
      </c>
      <c r="D39" s="2" t="s">
        <v>203</v>
      </c>
      <c r="E39" s="3">
        <v>20</v>
      </c>
      <c r="F39" s="3">
        <v>36</v>
      </c>
      <c r="G39" s="3">
        <v>133.6</v>
      </c>
      <c r="I39" s="2" t="s">
        <v>181</v>
      </c>
      <c r="J39" s="2" t="s">
        <v>228</v>
      </c>
      <c r="K39" s="2" t="s">
        <v>272</v>
      </c>
      <c r="L39" s="3">
        <v>97</v>
      </c>
    </row>
    <row r="40" spans="1:12">
      <c r="A40" s="7" t="s">
        <v>39</v>
      </c>
      <c r="C40" s="2" t="s">
        <v>182</v>
      </c>
      <c r="D40" s="2" t="s">
        <v>203</v>
      </c>
      <c r="E40" s="3">
        <v>20</v>
      </c>
      <c r="F40" s="3">
        <v>40</v>
      </c>
      <c r="G40" s="3">
        <v>133.6</v>
      </c>
      <c r="I40" s="2" t="s">
        <v>182</v>
      </c>
      <c r="J40" s="2" t="s">
        <v>228</v>
      </c>
      <c r="K40" s="2" t="s">
        <v>245</v>
      </c>
      <c r="L40" s="3">
        <v>97</v>
      </c>
    </row>
    <row r="41" spans="1:12">
      <c r="A41" s="7" t="s">
        <v>40</v>
      </c>
      <c r="C41" s="2" t="s">
        <v>183</v>
      </c>
      <c r="D41" s="2" t="s">
        <v>203</v>
      </c>
      <c r="E41" s="3">
        <v>20</v>
      </c>
      <c r="F41" s="3">
        <v>60</v>
      </c>
      <c r="G41" s="3">
        <v>200</v>
      </c>
      <c r="I41" s="2" t="s">
        <v>183</v>
      </c>
      <c r="J41" s="2" t="s">
        <v>228</v>
      </c>
      <c r="K41" s="2" t="s">
        <v>285</v>
      </c>
      <c r="L41" s="3">
        <v>136.30000000000001</v>
      </c>
    </row>
    <row r="42" spans="1:12">
      <c r="A42" s="7" t="s">
        <v>145</v>
      </c>
      <c r="C42" s="2" t="s">
        <v>184</v>
      </c>
      <c r="D42" s="2" t="s">
        <v>204</v>
      </c>
      <c r="E42" s="3">
        <v>35</v>
      </c>
      <c r="F42" s="3">
        <v>36</v>
      </c>
      <c r="G42" s="3">
        <v>133.6</v>
      </c>
      <c r="I42" s="2" t="s">
        <v>184</v>
      </c>
      <c r="J42" s="2" t="s">
        <v>229</v>
      </c>
      <c r="K42" s="2" t="s">
        <v>273</v>
      </c>
      <c r="L42" s="3">
        <v>97</v>
      </c>
    </row>
    <row r="43" spans="1:12">
      <c r="A43" s="7" t="s">
        <v>41</v>
      </c>
      <c r="C43" s="2" t="s">
        <v>193</v>
      </c>
      <c r="D43" s="2" t="s">
        <v>204</v>
      </c>
      <c r="E43" s="3">
        <v>35</v>
      </c>
      <c r="F43" s="3">
        <v>40</v>
      </c>
      <c r="G43" s="3">
        <v>133.6</v>
      </c>
      <c r="I43" s="2" t="s">
        <v>193</v>
      </c>
      <c r="J43" s="2" t="s">
        <v>229</v>
      </c>
      <c r="K43" s="2" t="s">
        <v>258</v>
      </c>
      <c r="L43" s="3">
        <v>97</v>
      </c>
    </row>
    <row r="44" spans="1:12">
      <c r="A44" s="7" t="s">
        <v>42</v>
      </c>
      <c r="C44" s="2" t="s">
        <v>194</v>
      </c>
      <c r="D44" s="2" t="s">
        <v>204</v>
      </c>
      <c r="E44" s="3">
        <v>35</v>
      </c>
      <c r="F44" s="3">
        <v>60</v>
      </c>
      <c r="G44" s="3">
        <v>200</v>
      </c>
      <c r="I44" s="2" t="s">
        <v>194</v>
      </c>
      <c r="J44" s="2" t="s">
        <v>229</v>
      </c>
      <c r="K44" s="2" t="s">
        <v>286</v>
      </c>
      <c r="L44" s="3">
        <v>136.30000000000001</v>
      </c>
    </row>
    <row r="45" spans="1:12">
      <c r="A45" s="7" t="s">
        <v>144</v>
      </c>
      <c r="C45" s="2" t="s">
        <v>195</v>
      </c>
      <c r="D45" s="2" t="s">
        <v>205</v>
      </c>
      <c r="E45" s="3">
        <v>40</v>
      </c>
      <c r="F45" s="3">
        <v>36</v>
      </c>
      <c r="G45" s="3">
        <v>133.6</v>
      </c>
      <c r="I45" s="2" t="s">
        <v>195</v>
      </c>
      <c r="J45" s="2" t="s">
        <v>230</v>
      </c>
      <c r="K45" s="2" t="s">
        <v>274</v>
      </c>
      <c r="L45" s="3">
        <v>97</v>
      </c>
    </row>
    <row r="46" spans="1:12">
      <c r="A46" s="7" t="s">
        <v>43</v>
      </c>
      <c r="C46" s="2" t="s">
        <v>196</v>
      </c>
      <c r="D46" s="2" t="s">
        <v>205</v>
      </c>
      <c r="E46" s="3">
        <v>40</v>
      </c>
      <c r="F46" s="3">
        <v>40</v>
      </c>
      <c r="G46" s="3">
        <v>133.6</v>
      </c>
      <c r="I46" s="2" t="s">
        <v>196</v>
      </c>
      <c r="J46" s="2" t="s">
        <v>230</v>
      </c>
      <c r="K46" s="2" t="s">
        <v>246</v>
      </c>
      <c r="L46" s="3">
        <v>97</v>
      </c>
    </row>
    <row r="47" spans="1:12">
      <c r="A47" s="7" t="s">
        <v>44</v>
      </c>
      <c r="C47" s="2" t="s">
        <v>197</v>
      </c>
      <c r="D47" s="2" t="s">
        <v>205</v>
      </c>
      <c r="E47" s="3">
        <v>40</v>
      </c>
      <c r="F47" s="3">
        <v>60</v>
      </c>
      <c r="G47" s="3">
        <v>200</v>
      </c>
      <c r="I47" s="2" t="s">
        <v>197</v>
      </c>
      <c r="J47" s="2" t="s">
        <v>230</v>
      </c>
      <c r="K47" s="2" t="s">
        <v>287</v>
      </c>
      <c r="L47" s="3">
        <v>136.30000000000001</v>
      </c>
    </row>
    <row r="48" spans="1:12">
      <c r="A48" s="7" t="s">
        <v>45</v>
      </c>
      <c r="C48" s="2" t="s">
        <v>198</v>
      </c>
      <c r="D48" s="2" t="s">
        <v>206</v>
      </c>
      <c r="E48" s="3">
        <v>50</v>
      </c>
      <c r="F48" s="3">
        <v>36</v>
      </c>
      <c r="G48" s="3">
        <v>133.6</v>
      </c>
      <c r="I48" s="2" t="s">
        <v>198</v>
      </c>
      <c r="J48" s="2" t="s">
        <v>231</v>
      </c>
      <c r="K48" s="2" t="s">
        <v>261</v>
      </c>
      <c r="L48" s="3">
        <v>97</v>
      </c>
    </row>
    <row r="49" spans="1:12">
      <c r="A49" s="7" t="s">
        <v>46</v>
      </c>
      <c r="C49" s="2" t="s">
        <v>199</v>
      </c>
      <c r="D49" s="2" t="s">
        <v>206</v>
      </c>
      <c r="E49" s="3">
        <v>50</v>
      </c>
      <c r="F49" s="3">
        <v>40</v>
      </c>
      <c r="G49" s="3">
        <v>133.6</v>
      </c>
      <c r="I49" s="2" t="s">
        <v>199</v>
      </c>
      <c r="J49" s="2" t="s">
        <v>231</v>
      </c>
      <c r="K49" s="2" t="s">
        <v>247</v>
      </c>
      <c r="L49" s="3">
        <v>100</v>
      </c>
    </row>
    <row r="50" spans="1:12">
      <c r="A50" s="7" t="s">
        <v>47</v>
      </c>
      <c r="C50" s="2" t="s">
        <v>200</v>
      </c>
      <c r="D50" s="2" t="s">
        <v>206</v>
      </c>
      <c r="E50" s="3">
        <v>50</v>
      </c>
      <c r="F50" s="3">
        <v>60</v>
      </c>
      <c r="G50" s="3">
        <v>200</v>
      </c>
      <c r="I50" s="2" t="s">
        <v>200</v>
      </c>
      <c r="J50" s="2" t="s">
        <v>231</v>
      </c>
      <c r="K50" s="2" t="s">
        <v>262</v>
      </c>
      <c r="L50" s="3">
        <v>140</v>
      </c>
    </row>
    <row r="51" spans="1:12">
      <c r="A51" s="7" t="s">
        <v>49</v>
      </c>
      <c r="C51" s="2" t="s">
        <v>208</v>
      </c>
      <c r="D51" s="2" t="s">
        <v>207</v>
      </c>
      <c r="E51" s="3">
        <v>70</v>
      </c>
      <c r="F51" s="3">
        <v>36</v>
      </c>
      <c r="G51" s="3">
        <v>133.6</v>
      </c>
      <c r="I51" s="2" t="s">
        <v>208</v>
      </c>
      <c r="J51" s="2" t="s">
        <v>277</v>
      </c>
      <c r="K51" s="2" t="s">
        <v>263</v>
      </c>
      <c r="L51" s="3">
        <v>118.5</v>
      </c>
    </row>
    <row r="52" spans="1:12">
      <c r="A52" s="7" t="s">
        <v>50</v>
      </c>
      <c r="C52" s="2" t="s">
        <v>209</v>
      </c>
      <c r="D52" s="2" t="s">
        <v>207</v>
      </c>
      <c r="E52" s="3">
        <v>70</v>
      </c>
      <c r="F52" s="3">
        <v>40</v>
      </c>
      <c r="G52" s="3">
        <v>133.6</v>
      </c>
      <c r="I52" s="2" t="s">
        <v>209</v>
      </c>
      <c r="J52" s="2" t="s">
        <v>277</v>
      </c>
      <c r="K52" s="2" t="s">
        <v>248</v>
      </c>
      <c r="L52" s="3">
        <v>118.5</v>
      </c>
    </row>
    <row r="53" spans="1:12">
      <c r="A53" s="7" t="s">
        <v>52</v>
      </c>
      <c r="I53" s="2" t="s">
        <v>210</v>
      </c>
      <c r="J53" s="2" t="s">
        <v>222</v>
      </c>
    </row>
    <row r="54" spans="1:12">
      <c r="A54" s="7" t="s">
        <v>53</v>
      </c>
      <c r="I54" s="2" t="s">
        <v>211</v>
      </c>
      <c r="J54" s="2" t="s">
        <v>222</v>
      </c>
    </row>
    <row r="55" spans="1:12">
      <c r="A55" s="7" t="s">
        <v>54</v>
      </c>
      <c r="I55" s="2" t="s">
        <v>297</v>
      </c>
      <c r="J55" s="2" t="s">
        <v>223</v>
      </c>
    </row>
    <row r="56" spans="1:12">
      <c r="A56" s="7" t="s">
        <v>55</v>
      </c>
      <c r="I56" s="2" t="s">
        <v>298</v>
      </c>
      <c r="J56" s="2" t="s">
        <v>223</v>
      </c>
    </row>
    <row r="57" spans="1:12">
      <c r="A57" s="7" t="s">
        <v>71</v>
      </c>
      <c r="I57" s="2" t="s">
        <v>299</v>
      </c>
      <c r="J57" s="2" t="s">
        <v>224</v>
      </c>
    </row>
    <row r="58" spans="1:12">
      <c r="A58" s="7" t="s">
        <v>72</v>
      </c>
      <c r="I58" s="2" t="s">
        <v>300</v>
      </c>
      <c r="J58" s="2" t="s">
        <v>224</v>
      </c>
    </row>
    <row r="59" spans="1:12">
      <c r="A59" s="7" t="s">
        <v>73</v>
      </c>
      <c r="I59" s="2" t="s">
        <v>301</v>
      </c>
      <c r="J59" s="2" t="s">
        <v>225</v>
      </c>
    </row>
    <row r="60" spans="1:12">
      <c r="A60" s="7" t="s">
        <v>74</v>
      </c>
      <c r="I60" s="2" t="s">
        <v>302</v>
      </c>
      <c r="J60" s="2" t="s">
        <v>225</v>
      </c>
    </row>
    <row r="61" spans="1:12">
      <c r="A61" s="7" t="s">
        <v>75</v>
      </c>
      <c r="I61" s="2" t="s">
        <v>303</v>
      </c>
      <c r="J61" s="2" t="s">
        <v>275</v>
      </c>
    </row>
    <row r="62" spans="1:12">
      <c r="A62" s="7" t="s">
        <v>76</v>
      </c>
      <c r="I62" s="2" t="s">
        <v>304</v>
      </c>
      <c r="J62" s="2" t="s">
        <v>275</v>
      </c>
    </row>
    <row r="63" spans="1:12">
      <c r="A63" s="7" t="s">
        <v>77</v>
      </c>
      <c r="I63" s="2" t="s">
        <v>305</v>
      </c>
      <c r="J63" s="2" t="s">
        <v>276</v>
      </c>
    </row>
    <row r="64" spans="1:12">
      <c r="A64" s="7" t="s">
        <v>78</v>
      </c>
      <c r="I64" s="2" t="s">
        <v>306</v>
      </c>
      <c r="J64" s="2" t="s">
        <v>276</v>
      </c>
    </row>
    <row r="65" spans="1:12">
      <c r="A65" s="7" t="s">
        <v>56</v>
      </c>
      <c r="I65" s="2" t="s">
        <v>307</v>
      </c>
      <c r="J65" s="2" t="s">
        <v>290</v>
      </c>
      <c r="K65" s="2" t="s">
        <v>322</v>
      </c>
      <c r="L65" s="3">
        <v>157.5</v>
      </c>
    </row>
    <row r="66" spans="1:12">
      <c r="A66" s="7" t="s">
        <v>57</v>
      </c>
      <c r="I66" s="2" t="s">
        <v>308</v>
      </c>
      <c r="J66" s="2" t="s">
        <v>290</v>
      </c>
      <c r="K66" s="2" t="s">
        <v>336</v>
      </c>
      <c r="L66" s="3">
        <v>226</v>
      </c>
    </row>
    <row r="67" spans="1:12">
      <c r="A67" s="7" t="s">
        <v>58</v>
      </c>
      <c r="I67" s="2" t="s">
        <v>309</v>
      </c>
      <c r="J67" s="2" t="s">
        <v>291</v>
      </c>
      <c r="K67" s="2" t="s">
        <v>323</v>
      </c>
      <c r="L67" s="3">
        <v>157.5</v>
      </c>
    </row>
    <row r="68" spans="1:12">
      <c r="A68" s="7" t="s">
        <v>59</v>
      </c>
      <c r="I68" s="2" t="s">
        <v>310</v>
      </c>
      <c r="J68" s="2" t="s">
        <v>291</v>
      </c>
      <c r="K68" s="2" t="s">
        <v>335</v>
      </c>
      <c r="L68" s="3">
        <v>226</v>
      </c>
    </row>
    <row r="69" spans="1:12">
      <c r="A69" s="7" t="s">
        <v>60</v>
      </c>
      <c r="I69" s="2" t="s">
        <v>311</v>
      </c>
      <c r="J69" s="2" t="s">
        <v>292</v>
      </c>
      <c r="K69" s="2" t="s">
        <v>325</v>
      </c>
      <c r="L69" s="3">
        <v>113</v>
      </c>
    </row>
    <row r="70" spans="1:12">
      <c r="A70" s="7" t="s">
        <v>61</v>
      </c>
      <c r="I70" s="2" t="s">
        <v>312</v>
      </c>
      <c r="J70" s="2" t="s">
        <v>292</v>
      </c>
      <c r="K70" s="2" t="s">
        <v>324</v>
      </c>
      <c r="L70" s="3">
        <v>157.5</v>
      </c>
    </row>
    <row r="71" spans="1:12">
      <c r="A71" s="7" t="s">
        <v>62</v>
      </c>
      <c r="I71" s="2" t="s">
        <v>313</v>
      </c>
      <c r="J71" s="2" t="s">
        <v>292</v>
      </c>
      <c r="K71" s="2" t="s">
        <v>326</v>
      </c>
      <c r="L71" s="3">
        <v>226</v>
      </c>
    </row>
    <row r="72" spans="1:12">
      <c r="A72" s="7" t="s">
        <v>63</v>
      </c>
      <c r="I72" s="2" t="s">
        <v>314</v>
      </c>
      <c r="J72" s="2" t="s">
        <v>293</v>
      </c>
      <c r="K72" s="2" t="s">
        <v>327</v>
      </c>
      <c r="L72" s="3">
        <v>157.5</v>
      </c>
    </row>
    <row r="73" spans="1:12">
      <c r="A73" s="7" t="s">
        <v>64</v>
      </c>
      <c r="I73" s="2" t="s">
        <v>315</v>
      </c>
      <c r="J73" s="2" t="s">
        <v>293</v>
      </c>
      <c r="K73" s="2" t="s">
        <v>328</v>
      </c>
      <c r="L73" s="3">
        <v>226</v>
      </c>
    </row>
    <row r="74" spans="1:12">
      <c r="A74" s="7" t="s">
        <v>65</v>
      </c>
      <c r="I74" s="2" t="s">
        <v>316</v>
      </c>
      <c r="J74" s="2" t="s">
        <v>294</v>
      </c>
      <c r="K74" s="2" t="s">
        <v>329</v>
      </c>
      <c r="L74" s="3">
        <v>157.5</v>
      </c>
    </row>
    <row r="75" spans="1:12">
      <c r="A75" s="7" t="s">
        <v>66</v>
      </c>
      <c r="I75" s="2" t="s">
        <v>317</v>
      </c>
      <c r="J75" s="2" t="s">
        <v>294</v>
      </c>
      <c r="K75" s="2" t="s">
        <v>330</v>
      </c>
      <c r="L75" s="3">
        <v>226</v>
      </c>
    </row>
    <row r="76" spans="1:12">
      <c r="A76" s="7" t="s">
        <v>67</v>
      </c>
      <c r="I76" s="2" t="s">
        <v>318</v>
      </c>
      <c r="J76" s="2" t="s">
        <v>295</v>
      </c>
      <c r="K76" s="2" t="s">
        <v>331</v>
      </c>
      <c r="L76" s="3">
        <v>166.5</v>
      </c>
    </row>
    <row r="77" spans="1:12">
      <c r="A77" s="7" t="s">
        <v>68</v>
      </c>
      <c r="I77" s="2" t="s">
        <v>319</v>
      </c>
      <c r="J77" s="2" t="s">
        <v>295</v>
      </c>
      <c r="K77" s="2" t="s">
        <v>332</v>
      </c>
    </row>
    <row r="78" spans="1:12">
      <c r="A78" s="7" t="s">
        <v>69</v>
      </c>
      <c r="I78" s="2" t="s">
        <v>320</v>
      </c>
      <c r="J78" s="2" t="s">
        <v>296</v>
      </c>
      <c r="K78" s="2" t="s">
        <v>333</v>
      </c>
      <c r="L78" s="3">
        <v>166.5</v>
      </c>
    </row>
    <row r="79" spans="1:12">
      <c r="A79" s="7" t="s">
        <v>70</v>
      </c>
      <c r="I79" s="2" t="s">
        <v>321</v>
      </c>
      <c r="J79" s="2" t="s">
        <v>296</v>
      </c>
      <c r="K79" s="2" t="s">
        <v>334</v>
      </c>
    </row>
    <row r="80" spans="1:12">
      <c r="A80" s="7" t="s">
        <v>79</v>
      </c>
      <c r="I80" s="7" t="s">
        <v>371</v>
      </c>
      <c r="J80" s="2" t="s">
        <v>337</v>
      </c>
      <c r="K80" s="7" t="s">
        <v>345</v>
      </c>
      <c r="L80" s="3">
        <v>82</v>
      </c>
    </row>
    <row r="81" spans="1:12">
      <c r="A81" s="7" t="s">
        <v>80</v>
      </c>
      <c r="I81" s="7" t="s">
        <v>372</v>
      </c>
      <c r="J81" s="2" t="s">
        <v>337</v>
      </c>
      <c r="K81" s="7" t="s">
        <v>346</v>
      </c>
      <c r="L81" s="3">
        <v>82</v>
      </c>
    </row>
    <row r="82" spans="1:12">
      <c r="A82" s="7" t="s">
        <v>81</v>
      </c>
      <c r="I82" s="7" t="s">
        <v>373</v>
      </c>
      <c r="J82" s="2" t="s">
        <v>337</v>
      </c>
      <c r="K82" s="7" t="s">
        <v>347</v>
      </c>
      <c r="L82" s="3">
        <v>114</v>
      </c>
    </row>
    <row r="83" spans="1:12">
      <c r="A83" s="7" t="s">
        <v>82</v>
      </c>
      <c r="I83" s="7" t="s">
        <v>375</v>
      </c>
      <c r="J83" s="2" t="s">
        <v>338</v>
      </c>
      <c r="K83" s="7" t="s">
        <v>348</v>
      </c>
    </row>
    <row r="84" spans="1:12">
      <c r="A84" s="7" t="s">
        <v>83</v>
      </c>
      <c r="I84" s="7" t="s">
        <v>374</v>
      </c>
      <c r="J84" s="2" t="s">
        <v>338</v>
      </c>
      <c r="K84" s="7" t="s">
        <v>349</v>
      </c>
      <c r="L84" s="3">
        <v>52.5</v>
      </c>
    </row>
    <row r="85" spans="1:12">
      <c r="A85" s="7" t="s">
        <v>84</v>
      </c>
      <c r="I85" s="7" t="s">
        <v>376</v>
      </c>
      <c r="J85" s="2" t="s">
        <v>338</v>
      </c>
      <c r="K85" s="7" t="s">
        <v>350</v>
      </c>
      <c r="L85" s="3">
        <v>74</v>
      </c>
    </row>
    <row r="86" spans="1:12">
      <c r="A86" s="7" t="s">
        <v>85</v>
      </c>
      <c r="I86" s="7" t="s">
        <v>377</v>
      </c>
      <c r="J86" s="2" t="s">
        <v>338</v>
      </c>
      <c r="K86" s="7" t="s">
        <v>351</v>
      </c>
      <c r="L86" s="3">
        <v>74</v>
      </c>
    </row>
    <row r="87" spans="1:12">
      <c r="A87" s="7" t="s">
        <v>86</v>
      </c>
      <c r="F87" s="3" t="s">
        <v>397</v>
      </c>
      <c r="I87" s="7" t="s">
        <v>378</v>
      </c>
      <c r="J87" s="2" t="s">
        <v>338</v>
      </c>
      <c r="K87" s="7" t="s">
        <v>352</v>
      </c>
      <c r="L87" s="3">
        <v>105</v>
      </c>
    </row>
    <row r="88" spans="1:12">
      <c r="A88" s="7" t="s">
        <v>86</v>
      </c>
      <c r="F88" s="3" t="s">
        <v>398</v>
      </c>
      <c r="I88" s="7" t="s">
        <v>378</v>
      </c>
      <c r="J88" s="2" t="s">
        <v>338</v>
      </c>
      <c r="K88" s="7" t="s">
        <v>352</v>
      </c>
      <c r="L88" s="3">
        <v>105</v>
      </c>
    </row>
    <row r="89" spans="1:12">
      <c r="A89" s="7" t="s">
        <v>86</v>
      </c>
      <c r="F89" s="3" t="s">
        <v>399</v>
      </c>
      <c r="I89" s="7" t="s">
        <v>378</v>
      </c>
      <c r="J89" s="2" t="s">
        <v>338</v>
      </c>
      <c r="K89" s="7" t="s">
        <v>352</v>
      </c>
      <c r="L89" s="3">
        <v>109</v>
      </c>
    </row>
    <row r="90" spans="1:12">
      <c r="A90" s="7" t="s">
        <v>86</v>
      </c>
      <c r="F90" s="3" t="s">
        <v>400</v>
      </c>
      <c r="I90" s="7" t="s">
        <v>378</v>
      </c>
      <c r="J90" s="2" t="s">
        <v>338</v>
      </c>
      <c r="K90" s="7" t="s">
        <v>352</v>
      </c>
      <c r="L90" s="3">
        <v>109</v>
      </c>
    </row>
    <row r="91" spans="1:12">
      <c r="A91" s="7" t="s">
        <v>86</v>
      </c>
      <c r="F91" s="3" t="s">
        <v>401</v>
      </c>
      <c r="I91" s="7" t="s">
        <v>378</v>
      </c>
      <c r="J91" s="2" t="s">
        <v>338</v>
      </c>
      <c r="K91" s="7" t="s">
        <v>352</v>
      </c>
    </row>
    <row r="92" spans="1:12">
      <c r="A92" s="7" t="s">
        <v>87</v>
      </c>
      <c r="I92" s="7" t="s">
        <v>391</v>
      </c>
      <c r="J92" s="2" t="s">
        <v>339</v>
      </c>
      <c r="K92" s="7" t="s">
        <v>353</v>
      </c>
      <c r="L92" s="3">
        <v>52.5</v>
      </c>
    </row>
    <row r="93" spans="1:12">
      <c r="A93" s="7" t="s">
        <v>88</v>
      </c>
      <c r="I93" s="7" t="s">
        <v>392</v>
      </c>
      <c r="J93" s="2" t="s">
        <v>339</v>
      </c>
      <c r="K93" s="7" t="s">
        <v>354</v>
      </c>
      <c r="L93" s="3">
        <v>74</v>
      </c>
    </row>
    <row r="94" spans="1:12">
      <c r="A94" s="7" t="s">
        <v>89</v>
      </c>
      <c r="I94" s="7" t="s">
        <v>379</v>
      </c>
      <c r="J94" s="2" t="s">
        <v>339</v>
      </c>
      <c r="K94" s="7" t="s">
        <v>355</v>
      </c>
      <c r="L94" s="3">
        <v>74</v>
      </c>
    </row>
    <row r="95" spans="1:12">
      <c r="A95" s="7" t="s">
        <v>90</v>
      </c>
      <c r="I95" s="7" t="s">
        <v>380</v>
      </c>
      <c r="J95" s="2" t="s">
        <v>339</v>
      </c>
      <c r="K95" s="7" t="s">
        <v>356</v>
      </c>
      <c r="L95" s="3">
        <v>105</v>
      </c>
    </row>
    <row r="96" spans="1:12">
      <c r="A96" s="7" t="s">
        <v>91</v>
      </c>
      <c r="I96" s="7" t="s">
        <v>393</v>
      </c>
      <c r="J96" s="2" t="s">
        <v>340</v>
      </c>
      <c r="K96" s="7" t="s">
        <v>357</v>
      </c>
      <c r="L96" s="3">
        <v>52.5</v>
      </c>
    </row>
    <row r="97" spans="1:12">
      <c r="A97" s="7" t="s">
        <v>92</v>
      </c>
      <c r="I97" s="7" t="s">
        <v>394</v>
      </c>
      <c r="J97" s="2" t="s">
        <v>340</v>
      </c>
      <c r="K97" s="7" t="s">
        <v>358</v>
      </c>
      <c r="L97" s="3">
        <v>74</v>
      </c>
    </row>
    <row r="98" spans="1:12">
      <c r="A98" s="7" t="s">
        <v>93</v>
      </c>
      <c r="I98" s="7" t="s">
        <v>381</v>
      </c>
      <c r="J98" s="2" t="s">
        <v>340</v>
      </c>
      <c r="K98" s="7" t="s">
        <v>359</v>
      </c>
      <c r="L98" s="3">
        <v>74</v>
      </c>
    </row>
    <row r="99" spans="1:12">
      <c r="A99" s="7" t="s">
        <v>94</v>
      </c>
      <c r="I99" s="7" t="s">
        <v>382</v>
      </c>
      <c r="J99" s="2" t="s">
        <v>340</v>
      </c>
      <c r="K99" s="7" t="s">
        <v>360</v>
      </c>
      <c r="L99" s="3">
        <v>105</v>
      </c>
    </row>
    <row r="100" spans="1:12">
      <c r="A100" s="7" t="s">
        <v>95</v>
      </c>
      <c r="I100" s="7" t="s">
        <v>383</v>
      </c>
      <c r="J100" s="2" t="s">
        <v>341</v>
      </c>
      <c r="K100" s="7" t="s">
        <v>361</v>
      </c>
      <c r="L100" s="3">
        <v>74</v>
      </c>
    </row>
    <row r="101" spans="1:12">
      <c r="A101" s="7" t="s">
        <v>96</v>
      </c>
      <c r="I101" s="7" t="s">
        <v>384</v>
      </c>
      <c r="J101" s="2" t="s">
        <v>341</v>
      </c>
      <c r="K101" s="7" t="s">
        <v>362</v>
      </c>
      <c r="L101" s="3">
        <v>105</v>
      </c>
    </row>
    <row r="102" spans="1:12">
      <c r="A102" s="7" t="s">
        <v>97</v>
      </c>
      <c r="I102" s="7" t="s">
        <v>395</v>
      </c>
      <c r="J102" s="2" t="s">
        <v>342</v>
      </c>
      <c r="K102" s="7" t="s">
        <v>363</v>
      </c>
      <c r="L102" s="3">
        <v>74</v>
      </c>
    </row>
    <row r="103" spans="1:12">
      <c r="A103" s="7" t="s">
        <v>98</v>
      </c>
      <c r="I103" s="7" t="s">
        <v>385</v>
      </c>
      <c r="J103" s="2" t="s">
        <v>342</v>
      </c>
      <c r="K103" s="7" t="s">
        <v>364</v>
      </c>
      <c r="L103" s="3">
        <v>74</v>
      </c>
    </row>
    <row r="104" spans="1:12">
      <c r="A104" s="7" t="s">
        <v>99</v>
      </c>
      <c r="I104" s="7" t="s">
        <v>386</v>
      </c>
      <c r="J104" s="2" t="s">
        <v>342</v>
      </c>
      <c r="K104" s="7" t="s">
        <v>365</v>
      </c>
      <c r="L104" s="3">
        <v>105</v>
      </c>
    </row>
    <row r="105" spans="1:12">
      <c r="A105" s="7" t="s">
        <v>100</v>
      </c>
      <c r="I105" s="7" t="s">
        <v>387</v>
      </c>
      <c r="J105" s="2" t="s">
        <v>343</v>
      </c>
      <c r="K105" s="7" t="s">
        <v>366</v>
      </c>
      <c r="L105" s="3">
        <v>74</v>
      </c>
    </row>
    <row r="106" spans="1:12">
      <c r="A106" s="7" t="s">
        <v>101</v>
      </c>
      <c r="I106" s="7" t="s">
        <v>388</v>
      </c>
      <c r="J106" s="2" t="s">
        <v>343</v>
      </c>
      <c r="K106" s="7" t="s">
        <v>367</v>
      </c>
      <c r="L106" s="3">
        <v>105</v>
      </c>
    </row>
    <row r="107" spans="1:12">
      <c r="A107" s="7" t="s">
        <v>102</v>
      </c>
      <c r="I107" s="7" t="s">
        <v>396</v>
      </c>
      <c r="J107" s="2" t="s">
        <v>344</v>
      </c>
      <c r="K107" s="7" t="s">
        <v>368</v>
      </c>
      <c r="L107" s="3">
        <v>74</v>
      </c>
    </row>
    <row r="108" spans="1:12">
      <c r="A108" s="7" t="s">
        <v>103</v>
      </c>
      <c r="I108" s="7" t="s">
        <v>389</v>
      </c>
      <c r="J108" s="2" t="s">
        <v>344</v>
      </c>
      <c r="K108" s="7" t="s">
        <v>369</v>
      </c>
      <c r="L108" s="3">
        <v>74</v>
      </c>
    </row>
    <row r="109" spans="1:12">
      <c r="A109" s="7" t="s">
        <v>104</v>
      </c>
      <c r="I109" s="7" t="s">
        <v>390</v>
      </c>
      <c r="J109" s="2" t="s">
        <v>344</v>
      </c>
      <c r="K109" s="7" t="s">
        <v>370</v>
      </c>
      <c r="L109" s="3">
        <v>105</v>
      </c>
    </row>
    <row r="110" spans="1:12">
      <c r="A110" s="7" t="s">
        <v>105</v>
      </c>
      <c r="I110" s="7" t="s">
        <v>402</v>
      </c>
      <c r="J110" s="2" t="s">
        <v>442</v>
      </c>
      <c r="K110" s="7" t="s">
        <v>423</v>
      </c>
    </row>
    <row r="111" spans="1:12">
      <c r="A111" s="7" t="s">
        <v>106</v>
      </c>
      <c r="I111" s="7" t="s">
        <v>403</v>
      </c>
      <c r="J111" s="2" t="s">
        <v>442</v>
      </c>
      <c r="K111" s="7" t="s">
        <v>424</v>
      </c>
    </row>
    <row r="112" spans="1:12">
      <c r="A112" s="7" t="s">
        <v>107</v>
      </c>
      <c r="I112" s="7" t="s">
        <v>404</v>
      </c>
      <c r="J112" s="2" t="s">
        <v>448</v>
      </c>
      <c r="K112" s="7" t="s">
        <v>425</v>
      </c>
      <c r="L112" s="3">
        <f>141.3/2</f>
        <v>70.650000000000006</v>
      </c>
    </row>
    <row r="113" spans="1:12">
      <c r="A113" s="7" t="s">
        <v>108</v>
      </c>
      <c r="I113" s="7" t="s">
        <v>405</v>
      </c>
      <c r="J113" s="2" t="s">
        <v>448</v>
      </c>
      <c r="K113" s="7" t="s">
        <v>426</v>
      </c>
      <c r="L113" s="3">
        <v>100.5</v>
      </c>
    </row>
    <row r="114" spans="1:12">
      <c r="A114" s="7" t="s">
        <v>109</v>
      </c>
      <c r="I114" s="7" t="s">
        <v>406</v>
      </c>
      <c r="J114" s="2" t="s">
        <v>448</v>
      </c>
      <c r="K114" s="7" t="s">
        <v>427</v>
      </c>
      <c r="L114" s="3">
        <v>141.30000000000001</v>
      </c>
    </row>
    <row r="115" spans="1:12">
      <c r="A115" s="7" t="s">
        <v>110</v>
      </c>
      <c r="I115" s="7" t="s">
        <v>407</v>
      </c>
      <c r="J115" s="2" t="s">
        <v>449</v>
      </c>
      <c r="K115" s="7" t="s">
        <v>428</v>
      </c>
      <c r="L115" s="3">
        <f>141.3/2</f>
        <v>70.650000000000006</v>
      </c>
    </row>
    <row r="116" spans="1:12">
      <c r="A116" s="7" t="s">
        <v>111</v>
      </c>
      <c r="I116" s="7" t="s">
        <v>408</v>
      </c>
      <c r="J116" s="2" t="s">
        <v>449</v>
      </c>
      <c r="K116" s="7" t="s">
        <v>429</v>
      </c>
      <c r="L116" s="3">
        <v>100.5</v>
      </c>
    </row>
    <row r="117" spans="1:12">
      <c r="A117" s="7" t="s">
        <v>112</v>
      </c>
      <c r="I117" s="7" t="s">
        <v>409</v>
      </c>
      <c r="J117" s="2" t="s">
        <v>449</v>
      </c>
      <c r="K117" s="7" t="s">
        <v>430</v>
      </c>
      <c r="L117" s="3">
        <v>141.30000000000001</v>
      </c>
    </row>
    <row r="118" spans="1:12">
      <c r="A118" s="7" t="s">
        <v>113</v>
      </c>
      <c r="I118" s="7" t="s">
        <v>410</v>
      </c>
      <c r="J118" s="2" t="s">
        <v>443</v>
      </c>
      <c r="K118" s="7" t="s">
        <v>431</v>
      </c>
      <c r="L118" s="3">
        <f>153/2</f>
        <v>76.5</v>
      </c>
    </row>
    <row r="119" spans="1:12">
      <c r="A119" s="7" t="s">
        <v>114</v>
      </c>
      <c r="I119" s="7" t="s">
        <v>411</v>
      </c>
      <c r="J119" s="2" t="s">
        <v>443</v>
      </c>
      <c r="K119" s="7" t="s">
        <v>432</v>
      </c>
      <c r="L119" s="3">
        <v>111.5</v>
      </c>
    </row>
    <row r="120" spans="1:12">
      <c r="A120" s="7" t="s">
        <v>115</v>
      </c>
      <c r="I120" s="7" t="s">
        <v>412</v>
      </c>
      <c r="J120" s="2" t="s">
        <v>443</v>
      </c>
      <c r="K120" s="7" t="s">
        <v>433</v>
      </c>
      <c r="L120" s="3">
        <v>111.5</v>
      </c>
    </row>
    <row r="121" spans="1:12">
      <c r="A121" s="7" t="s">
        <v>116</v>
      </c>
      <c r="I121" s="7" t="s">
        <v>413</v>
      </c>
      <c r="J121" s="2" t="s">
        <v>443</v>
      </c>
      <c r="K121" s="7" t="s">
        <v>434</v>
      </c>
      <c r="L121" s="3">
        <v>153</v>
      </c>
    </row>
    <row r="122" spans="1:12">
      <c r="A122" s="7" t="s">
        <v>117</v>
      </c>
      <c r="I122" s="7" t="s">
        <v>414</v>
      </c>
      <c r="J122" s="2" t="s">
        <v>445</v>
      </c>
      <c r="K122" s="7" t="s">
        <v>435</v>
      </c>
      <c r="L122" s="3">
        <f>158/2</f>
        <v>79</v>
      </c>
    </row>
    <row r="123" spans="1:12">
      <c r="A123" s="7" t="s">
        <v>118</v>
      </c>
      <c r="I123" s="7" t="s">
        <v>415</v>
      </c>
      <c r="J123" s="2" t="s">
        <v>445</v>
      </c>
      <c r="K123" s="7" t="s">
        <v>436</v>
      </c>
      <c r="L123" s="3">
        <v>113.5</v>
      </c>
    </row>
    <row r="124" spans="1:12">
      <c r="A124" s="7" t="s">
        <v>119</v>
      </c>
      <c r="I124" s="7" t="s">
        <v>416</v>
      </c>
      <c r="J124" s="2" t="s">
        <v>445</v>
      </c>
      <c r="K124" s="7" t="s">
        <v>437</v>
      </c>
      <c r="L124" s="3">
        <v>158</v>
      </c>
    </row>
    <row r="125" spans="1:12">
      <c r="A125" s="7" t="s">
        <v>120</v>
      </c>
      <c r="I125" s="7" t="s">
        <v>417</v>
      </c>
      <c r="J125" s="2" t="s">
        <v>444</v>
      </c>
      <c r="K125" s="7" t="s">
        <v>438</v>
      </c>
      <c r="L125" s="3">
        <v>113.5</v>
      </c>
    </row>
    <row r="126" spans="1:12">
      <c r="A126" s="7" t="s">
        <v>121</v>
      </c>
      <c r="I126" s="7" t="s">
        <v>418</v>
      </c>
      <c r="J126" s="2" t="s">
        <v>444</v>
      </c>
      <c r="K126" s="7" t="s">
        <v>439</v>
      </c>
      <c r="L126" s="3">
        <v>158</v>
      </c>
    </row>
    <row r="127" spans="1:12">
      <c r="A127" s="7" t="s">
        <v>122</v>
      </c>
      <c r="I127" s="7" t="s">
        <v>419</v>
      </c>
      <c r="J127" s="2" t="s">
        <v>446</v>
      </c>
      <c r="K127" s="7" t="s">
        <v>440</v>
      </c>
      <c r="L127" s="3">
        <v>118.5</v>
      </c>
    </row>
    <row r="128" spans="1:12">
      <c r="A128" s="7" t="s">
        <v>123</v>
      </c>
      <c r="I128" s="7" t="s">
        <v>420</v>
      </c>
      <c r="J128" s="2" t="s">
        <v>446</v>
      </c>
      <c r="K128" s="7" t="s">
        <v>441</v>
      </c>
    </row>
    <row r="129" spans="1:12">
      <c r="A129" s="7" t="s">
        <v>124</v>
      </c>
      <c r="I129" s="7" t="s">
        <v>421</v>
      </c>
      <c r="J129" s="2" t="s">
        <v>447</v>
      </c>
      <c r="K129" s="7" t="s">
        <v>450</v>
      </c>
      <c r="L129" s="3">
        <v>118.5</v>
      </c>
    </row>
    <row r="130" spans="1:12">
      <c r="A130" s="7" t="s">
        <v>125</v>
      </c>
      <c r="I130" s="7" t="s">
        <v>422</v>
      </c>
      <c r="J130" s="2" t="s">
        <v>447</v>
      </c>
      <c r="K130" s="7" t="s">
        <v>451</v>
      </c>
    </row>
    <row r="131" spans="1:12">
      <c r="A131" s="7" t="s">
        <v>126</v>
      </c>
    </row>
    <row r="132" spans="1:12">
      <c r="A132" s="7" t="s">
        <v>127</v>
      </c>
    </row>
    <row r="133" spans="1:12">
      <c r="A133" s="7" t="s">
        <v>128</v>
      </c>
      <c r="I133" s="2" t="s">
        <v>452</v>
      </c>
      <c r="K133" s="2" t="s">
        <v>456</v>
      </c>
      <c r="L133" s="3">
        <v>450</v>
      </c>
    </row>
    <row r="134" spans="1:12">
      <c r="A134" s="7" t="s">
        <v>129</v>
      </c>
      <c r="I134" s="2" t="s">
        <v>455</v>
      </c>
      <c r="K134" s="2" t="s">
        <v>457</v>
      </c>
      <c r="L134" s="3">
        <v>480</v>
      </c>
    </row>
    <row r="135" spans="1:12">
      <c r="A135" s="7" t="s">
        <v>130</v>
      </c>
      <c r="I135" s="2" t="s">
        <v>454</v>
      </c>
      <c r="K135" s="2" t="s">
        <v>458</v>
      </c>
      <c r="L135" s="3">
        <v>480</v>
      </c>
    </row>
    <row r="136" spans="1:12">
      <c r="A136" s="7" t="s">
        <v>131</v>
      </c>
      <c r="I136" s="2" t="s">
        <v>453</v>
      </c>
      <c r="K136" s="2" t="s">
        <v>459</v>
      </c>
      <c r="L136" s="3">
        <v>510</v>
      </c>
    </row>
    <row r="137" spans="1:12">
      <c r="A137" s="7" t="s">
        <v>132</v>
      </c>
    </row>
    <row r="138" spans="1:12">
      <c r="A138" s="7" t="s">
        <v>133</v>
      </c>
    </row>
    <row r="139" spans="1:12">
      <c r="A139" s="7" t="s">
        <v>134</v>
      </c>
    </row>
    <row r="140" spans="1:12">
      <c r="A140" s="7" t="s">
        <v>135</v>
      </c>
    </row>
    <row r="141" spans="1:12">
      <c r="A141" s="7" t="s">
        <v>136</v>
      </c>
      <c r="I141" s="8"/>
      <c r="J141" s="8"/>
      <c r="K141" s="8"/>
    </row>
    <row r="142" spans="1:12">
      <c r="A142" s="7" t="s">
        <v>137</v>
      </c>
    </row>
    <row r="143" spans="1:12">
      <c r="A143" s="7" t="s">
        <v>138</v>
      </c>
    </row>
    <row r="144" spans="1:12">
      <c r="A144" s="7" t="s">
        <v>139</v>
      </c>
    </row>
    <row r="145" spans="1:12">
      <c r="A145" s="7" t="s">
        <v>140</v>
      </c>
    </row>
    <row r="146" spans="1:12">
      <c r="A146" s="7" t="s">
        <v>141</v>
      </c>
    </row>
    <row r="147" spans="1:12">
      <c r="A147" s="7" t="s">
        <v>142</v>
      </c>
    </row>
    <row r="148" spans="1:12">
      <c r="A148" s="7" t="s">
        <v>143</v>
      </c>
    </row>
    <row r="149" spans="1:12">
      <c r="A149" s="7"/>
    </row>
    <row r="150" spans="1:12">
      <c r="A150" s="7"/>
    </row>
    <row r="151" spans="1:12" s="8" customFormat="1">
      <c r="A151" s="5"/>
      <c r="B151" s="12"/>
      <c r="E151" s="9"/>
      <c r="F151" s="9"/>
      <c r="G151" s="9"/>
      <c r="H151" s="12"/>
      <c r="I151" s="2"/>
      <c r="J151" s="2"/>
      <c r="K151" s="2"/>
      <c r="L151" s="9"/>
    </row>
  </sheetData>
  <mergeCells count="2">
    <mergeCell ref="C1:G1"/>
    <mergeCell ref="I1:L1"/>
  </mergeCells>
  <pageMargins left="0.7" right="0.7" top="0.75" bottom="0.75" header="0.1" footer="0.3"/>
  <pageSetup orientation="portrait" verticalDpi="0" r:id="rId1"/>
  <headerFooter>
    <oddHeader>&amp;L&amp;"Arial,Bold"&amp;8 3:42 PM
&amp;"Arial,Bold"&amp;8 11-13-25
&amp;"Arial,Bold"&amp;8 &amp;C&amp;"Arial,Bold"&amp;12 SMP Corporation
&amp;"Arial,Bold"&amp;14 Inventory Stock Status by Item
&amp;"Arial,Bold"&amp;10 November 1 - 13, 2025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4097" r:id="rId4" name="FILT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914400</xdr:colOff>
                <xdr:row>1</xdr:row>
                <xdr:rowOff>38100</xdr:rowOff>
              </to>
            </anchor>
          </controlPr>
        </control>
      </mc:Choice>
      <mc:Fallback>
        <control shapeId="4097" r:id="rId4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UVIRON</vt:lpstr>
      <vt:lpstr>GEOSHIELD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2025-11-13T20:42:31Z</dcterms:created>
  <dcterms:modified xsi:type="dcterms:W3CDTF">2025-12-02T14:56:07Z</dcterms:modified>
</cp:coreProperties>
</file>